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Office invoices\Invoice Format\"/>
    </mc:Choice>
  </mc:AlternateContent>
  <xr:revisionPtr revIDLastSave="0" documentId="13_ncr:1_{35A7A3D1-6688-4286-8AB4-869A93C03258}" xr6:coauthVersionLast="47" xr6:coauthVersionMax="47" xr10:uidLastSave="{00000000-0000-0000-0000-000000000000}"/>
  <bookViews>
    <workbookView xWindow="-120" yWindow="-120" windowWidth="19440" windowHeight="10440" activeTab="2" xr2:uid="{00000000-000D-0000-FFFF-FFFF00000000}"/>
  </bookViews>
  <sheets>
    <sheet name="Clients" sheetId="1" r:id="rId1"/>
    <sheet name="Chart2" sheetId="2" r:id="rId2"/>
    <sheet name="Sales Invoice" sheetId="3" r:id="rId3"/>
    <sheet name="DLedger" sheetId="4" r:id="rId4"/>
  </sheets>
  <functionGroups builtInGroupCount="19"/>
  <externalReferences>
    <externalReference r:id="rId5"/>
  </externalReferences>
  <definedNames>
    <definedName name="Cust_ID">[1]!customersdata[Cust_ID]</definedName>
    <definedName name="HSNCode">[1]!Table4[HSN Code]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52" i="4" l="1"/>
  <c r="K252" i="4" s="1"/>
  <c r="L252" i="4" s="1"/>
  <c r="N252" i="4" s="1"/>
  <c r="J251" i="4"/>
  <c r="K251" i="4" s="1"/>
  <c r="L251" i="4" s="1"/>
  <c r="N251" i="4" s="1"/>
  <c r="J250" i="4"/>
  <c r="K250" i="4" s="1"/>
  <c r="L250" i="4" s="1"/>
  <c r="N250" i="4" s="1"/>
  <c r="J249" i="4"/>
  <c r="K249" i="4" s="1"/>
  <c r="L249" i="4" s="1"/>
  <c r="N249" i="4" s="1"/>
  <c r="J248" i="4"/>
  <c r="K248" i="4" s="1"/>
  <c r="L248" i="4" s="1"/>
  <c r="N248" i="4" s="1"/>
  <c r="J247" i="4"/>
  <c r="K247" i="4" s="1"/>
  <c r="L247" i="4" s="1"/>
  <c r="N247" i="4" s="1"/>
  <c r="J246" i="4"/>
  <c r="K246" i="4" s="1"/>
  <c r="L246" i="4" s="1"/>
  <c r="N246" i="4" s="1"/>
  <c r="J245" i="4"/>
  <c r="K245" i="4" s="1"/>
  <c r="L245" i="4" s="1"/>
  <c r="N245" i="4" s="1"/>
  <c r="K244" i="4"/>
  <c r="L244" i="4" s="1"/>
  <c r="N244" i="4" s="1"/>
  <c r="J244" i="4"/>
  <c r="J243" i="4"/>
  <c r="K243" i="4" s="1"/>
  <c r="L243" i="4" s="1"/>
  <c r="N243" i="4" s="1"/>
  <c r="K242" i="4"/>
  <c r="L242" i="4" s="1"/>
  <c r="N242" i="4" s="1"/>
  <c r="J242" i="4"/>
  <c r="J241" i="4"/>
  <c r="K241" i="4" s="1"/>
  <c r="L241" i="4" s="1"/>
  <c r="N241" i="4" s="1"/>
  <c r="J240" i="4"/>
  <c r="K240" i="4" s="1"/>
  <c r="L240" i="4" s="1"/>
  <c r="N240" i="4" s="1"/>
  <c r="J239" i="4"/>
  <c r="K239" i="4" s="1"/>
  <c r="L239" i="4" s="1"/>
  <c r="N239" i="4" s="1"/>
  <c r="J238" i="4"/>
  <c r="K238" i="4" s="1"/>
  <c r="L238" i="4" s="1"/>
  <c r="N238" i="4" s="1"/>
  <c r="J237" i="4"/>
  <c r="K237" i="4" s="1"/>
  <c r="L237" i="4" s="1"/>
  <c r="N237" i="4" s="1"/>
  <c r="K236" i="4"/>
  <c r="L236" i="4" s="1"/>
  <c r="N236" i="4" s="1"/>
  <c r="J236" i="4"/>
  <c r="J235" i="4"/>
  <c r="K235" i="4" s="1"/>
  <c r="L235" i="4" s="1"/>
  <c r="N235" i="4" s="1"/>
  <c r="K234" i="4"/>
  <c r="L234" i="4" s="1"/>
  <c r="N234" i="4" s="1"/>
  <c r="J234" i="4"/>
  <c r="J233" i="4"/>
  <c r="K233" i="4" s="1"/>
  <c r="L233" i="4" s="1"/>
  <c r="N233" i="4" s="1"/>
  <c r="J232" i="4"/>
  <c r="K232" i="4" s="1"/>
  <c r="L232" i="4" s="1"/>
  <c r="N232" i="4" s="1"/>
  <c r="J231" i="4"/>
  <c r="K231" i="4" s="1"/>
  <c r="L231" i="4" s="1"/>
  <c r="N231" i="4" s="1"/>
  <c r="K230" i="4"/>
  <c r="L230" i="4" s="1"/>
  <c r="N230" i="4" s="1"/>
  <c r="J230" i="4"/>
  <c r="J229" i="4"/>
  <c r="K229" i="4" s="1"/>
  <c r="L229" i="4" s="1"/>
  <c r="N229" i="4" s="1"/>
  <c r="K228" i="4"/>
  <c r="L228" i="4" s="1"/>
  <c r="N228" i="4" s="1"/>
  <c r="J228" i="4"/>
  <c r="J227" i="4"/>
  <c r="K227" i="4" s="1"/>
  <c r="L227" i="4" s="1"/>
  <c r="N227" i="4" s="1"/>
  <c r="K226" i="4"/>
  <c r="L226" i="4" s="1"/>
  <c r="N226" i="4" s="1"/>
  <c r="J226" i="4"/>
  <c r="J225" i="4"/>
  <c r="K225" i="4" s="1"/>
  <c r="L225" i="4" s="1"/>
  <c r="N225" i="4" s="1"/>
  <c r="J224" i="4"/>
  <c r="K224" i="4" s="1"/>
  <c r="L224" i="4" s="1"/>
  <c r="N224" i="4" s="1"/>
  <c r="J223" i="4"/>
  <c r="K223" i="4" s="1"/>
  <c r="L223" i="4" s="1"/>
  <c r="N223" i="4" s="1"/>
  <c r="K222" i="4"/>
  <c r="L222" i="4" s="1"/>
  <c r="N222" i="4" s="1"/>
  <c r="J222" i="4"/>
  <c r="J221" i="4"/>
  <c r="K221" i="4" s="1"/>
  <c r="L221" i="4" s="1"/>
  <c r="N221" i="4" s="1"/>
  <c r="K220" i="4"/>
  <c r="L220" i="4" s="1"/>
  <c r="N220" i="4" s="1"/>
  <c r="J220" i="4"/>
  <c r="J219" i="4"/>
  <c r="K219" i="4" s="1"/>
  <c r="L219" i="4" s="1"/>
  <c r="N219" i="4" s="1"/>
  <c r="K218" i="4"/>
  <c r="L218" i="4" s="1"/>
  <c r="N218" i="4" s="1"/>
  <c r="J218" i="4"/>
  <c r="J217" i="4"/>
  <c r="K217" i="4" s="1"/>
  <c r="L217" i="4" s="1"/>
  <c r="N217" i="4" s="1"/>
  <c r="J216" i="4"/>
  <c r="K216" i="4" s="1"/>
  <c r="L216" i="4" s="1"/>
  <c r="N216" i="4" s="1"/>
  <c r="J215" i="4"/>
  <c r="K215" i="4" s="1"/>
  <c r="L215" i="4" s="1"/>
  <c r="N215" i="4" s="1"/>
  <c r="K214" i="4"/>
  <c r="L214" i="4" s="1"/>
  <c r="N214" i="4" s="1"/>
  <c r="J214" i="4"/>
  <c r="J213" i="4"/>
  <c r="K213" i="4" s="1"/>
  <c r="L213" i="4" s="1"/>
  <c r="N213" i="4" s="1"/>
  <c r="K212" i="4"/>
  <c r="L212" i="4" s="1"/>
  <c r="N212" i="4" s="1"/>
  <c r="J212" i="4"/>
  <c r="J211" i="4"/>
  <c r="K211" i="4" s="1"/>
  <c r="L211" i="4" s="1"/>
  <c r="N211" i="4" s="1"/>
  <c r="K210" i="4"/>
  <c r="L210" i="4" s="1"/>
  <c r="N210" i="4" s="1"/>
  <c r="J210" i="4"/>
  <c r="J209" i="4"/>
  <c r="K209" i="4" s="1"/>
  <c r="L209" i="4" s="1"/>
  <c r="N209" i="4" s="1"/>
  <c r="J208" i="4"/>
  <c r="K208" i="4" s="1"/>
  <c r="L208" i="4" s="1"/>
  <c r="N208" i="4" s="1"/>
  <c r="J207" i="4"/>
  <c r="K207" i="4" s="1"/>
  <c r="L207" i="4" s="1"/>
  <c r="N207" i="4" s="1"/>
  <c r="K206" i="4"/>
  <c r="L206" i="4" s="1"/>
  <c r="N206" i="4" s="1"/>
  <c r="J206" i="4"/>
  <c r="J205" i="4"/>
  <c r="K205" i="4" s="1"/>
  <c r="L205" i="4" s="1"/>
  <c r="N205" i="4" s="1"/>
  <c r="K204" i="4"/>
  <c r="L204" i="4" s="1"/>
  <c r="N204" i="4" s="1"/>
  <c r="J204" i="4"/>
  <c r="J203" i="4"/>
  <c r="K203" i="4" s="1"/>
  <c r="L203" i="4" s="1"/>
  <c r="N203" i="4" s="1"/>
  <c r="K202" i="4"/>
  <c r="L202" i="4" s="1"/>
  <c r="N202" i="4" s="1"/>
  <c r="J202" i="4"/>
  <c r="J201" i="4"/>
  <c r="K201" i="4" s="1"/>
  <c r="L201" i="4" s="1"/>
  <c r="N201" i="4" s="1"/>
  <c r="J200" i="4"/>
  <c r="K200" i="4" s="1"/>
  <c r="L200" i="4" s="1"/>
  <c r="N200" i="4" s="1"/>
  <c r="J199" i="4"/>
  <c r="K199" i="4" s="1"/>
  <c r="L199" i="4" s="1"/>
  <c r="N199" i="4" s="1"/>
  <c r="K198" i="4"/>
  <c r="L198" i="4" s="1"/>
  <c r="N198" i="4" s="1"/>
  <c r="J198" i="4"/>
  <c r="J197" i="4"/>
  <c r="K197" i="4" s="1"/>
  <c r="L197" i="4" s="1"/>
  <c r="N197" i="4" s="1"/>
  <c r="K196" i="4"/>
  <c r="L196" i="4" s="1"/>
  <c r="N196" i="4" s="1"/>
  <c r="J196" i="4"/>
  <c r="J195" i="4"/>
  <c r="K195" i="4" s="1"/>
  <c r="L195" i="4" s="1"/>
  <c r="N195" i="4" s="1"/>
  <c r="K194" i="4"/>
  <c r="L194" i="4" s="1"/>
  <c r="N194" i="4" s="1"/>
  <c r="J194" i="4"/>
  <c r="J193" i="4"/>
  <c r="K193" i="4" s="1"/>
  <c r="L193" i="4" s="1"/>
  <c r="N193" i="4" s="1"/>
  <c r="J192" i="4"/>
  <c r="K192" i="4" s="1"/>
  <c r="L192" i="4" s="1"/>
  <c r="N192" i="4" s="1"/>
  <c r="J191" i="4"/>
  <c r="K191" i="4" s="1"/>
  <c r="L191" i="4" s="1"/>
  <c r="N191" i="4" s="1"/>
  <c r="K190" i="4"/>
  <c r="L190" i="4" s="1"/>
  <c r="N190" i="4" s="1"/>
  <c r="J190" i="4"/>
  <c r="J189" i="4"/>
  <c r="K189" i="4" s="1"/>
  <c r="L189" i="4" s="1"/>
  <c r="N189" i="4" s="1"/>
  <c r="K188" i="4"/>
  <c r="L188" i="4" s="1"/>
  <c r="N188" i="4" s="1"/>
  <c r="J188" i="4"/>
  <c r="J187" i="4"/>
  <c r="K187" i="4" s="1"/>
  <c r="L187" i="4" s="1"/>
  <c r="N187" i="4" s="1"/>
  <c r="K186" i="4"/>
  <c r="L186" i="4" s="1"/>
  <c r="N186" i="4" s="1"/>
  <c r="J186" i="4"/>
  <c r="J185" i="4"/>
  <c r="K185" i="4" s="1"/>
  <c r="L185" i="4" s="1"/>
  <c r="N185" i="4" s="1"/>
  <c r="J184" i="4"/>
  <c r="K184" i="4" s="1"/>
  <c r="L184" i="4" s="1"/>
  <c r="N184" i="4" s="1"/>
  <c r="J183" i="4"/>
  <c r="K183" i="4" s="1"/>
  <c r="L183" i="4" s="1"/>
  <c r="N183" i="4" s="1"/>
  <c r="K182" i="4"/>
  <c r="L182" i="4" s="1"/>
  <c r="N182" i="4" s="1"/>
  <c r="J182" i="4"/>
  <c r="J181" i="4"/>
  <c r="K181" i="4" s="1"/>
  <c r="L181" i="4" s="1"/>
  <c r="N181" i="4" s="1"/>
  <c r="K180" i="4"/>
  <c r="L180" i="4" s="1"/>
  <c r="N180" i="4" s="1"/>
  <c r="J180" i="4"/>
  <c r="J179" i="4"/>
  <c r="K179" i="4" s="1"/>
  <c r="L179" i="4" s="1"/>
  <c r="N179" i="4" s="1"/>
  <c r="K178" i="4"/>
  <c r="L178" i="4" s="1"/>
  <c r="N178" i="4" s="1"/>
  <c r="J178" i="4"/>
  <c r="J177" i="4"/>
  <c r="K177" i="4" s="1"/>
  <c r="L177" i="4" s="1"/>
  <c r="N177" i="4" s="1"/>
  <c r="J176" i="4"/>
  <c r="K176" i="4" s="1"/>
  <c r="L176" i="4" s="1"/>
  <c r="N176" i="4" s="1"/>
  <c r="J175" i="4"/>
  <c r="K175" i="4" s="1"/>
  <c r="L175" i="4" s="1"/>
  <c r="N175" i="4" s="1"/>
  <c r="K174" i="4"/>
  <c r="L174" i="4" s="1"/>
  <c r="N174" i="4" s="1"/>
  <c r="J174" i="4"/>
  <c r="J173" i="4"/>
  <c r="K173" i="4" s="1"/>
  <c r="L173" i="4" s="1"/>
  <c r="N173" i="4" s="1"/>
  <c r="K172" i="4"/>
  <c r="L172" i="4" s="1"/>
  <c r="N172" i="4" s="1"/>
  <c r="J172" i="4"/>
  <c r="J171" i="4"/>
  <c r="K171" i="4" s="1"/>
  <c r="L171" i="4" s="1"/>
  <c r="N171" i="4" s="1"/>
  <c r="K170" i="4"/>
  <c r="L170" i="4" s="1"/>
  <c r="N170" i="4" s="1"/>
  <c r="J170" i="4"/>
  <c r="J169" i="4"/>
  <c r="K169" i="4" s="1"/>
  <c r="L169" i="4" s="1"/>
  <c r="N169" i="4" s="1"/>
  <c r="J168" i="4"/>
  <c r="K168" i="4" s="1"/>
  <c r="L168" i="4" s="1"/>
  <c r="N168" i="4" s="1"/>
  <c r="J167" i="4"/>
  <c r="K167" i="4" s="1"/>
  <c r="L167" i="4" s="1"/>
  <c r="N167" i="4" s="1"/>
  <c r="K166" i="4"/>
  <c r="L166" i="4" s="1"/>
  <c r="N166" i="4" s="1"/>
  <c r="J166" i="4"/>
  <c r="K165" i="4"/>
  <c r="L165" i="4" s="1"/>
  <c r="N165" i="4" s="1"/>
  <c r="J165" i="4"/>
  <c r="J164" i="4"/>
  <c r="K164" i="4" s="1"/>
  <c r="L164" i="4" s="1"/>
  <c r="N164" i="4" s="1"/>
  <c r="J163" i="4"/>
  <c r="K163" i="4" s="1"/>
  <c r="L163" i="4" s="1"/>
  <c r="N163" i="4" s="1"/>
  <c r="L162" i="4"/>
  <c r="N162" i="4" s="1"/>
  <c r="K162" i="4"/>
  <c r="J162" i="4"/>
  <c r="J161" i="4"/>
  <c r="K161" i="4" s="1"/>
  <c r="L161" i="4" s="1"/>
  <c r="N161" i="4" s="1"/>
  <c r="J160" i="4"/>
  <c r="K160" i="4" s="1"/>
  <c r="L160" i="4" s="1"/>
  <c r="N160" i="4" s="1"/>
  <c r="J159" i="4"/>
  <c r="K159" i="4" s="1"/>
  <c r="L159" i="4" s="1"/>
  <c r="N159" i="4" s="1"/>
  <c r="K158" i="4"/>
  <c r="L158" i="4" s="1"/>
  <c r="N158" i="4" s="1"/>
  <c r="J158" i="4"/>
  <c r="J157" i="4"/>
  <c r="K157" i="4" s="1"/>
  <c r="L157" i="4" s="1"/>
  <c r="N157" i="4" s="1"/>
  <c r="J156" i="4"/>
  <c r="K156" i="4" s="1"/>
  <c r="L156" i="4" s="1"/>
  <c r="N156" i="4" s="1"/>
  <c r="J155" i="4"/>
  <c r="K155" i="4" s="1"/>
  <c r="L155" i="4" s="1"/>
  <c r="N155" i="4" s="1"/>
  <c r="L154" i="4"/>
  <c r="N154" i="4" s="1"/>
  <c r="K154" i="4"/>
  <c r="J154" i="4"/>
  <c r="J153" i="4"/>
  <c r="K153" i="4" s="1"/>
  <c r="L153" i="4" s="1"/>
  <c r="N153" i="4" s="1"/>
  <c r="J152" i="4"/>
  <c r="K152" i="4" s="1"/>
  <c r="L152" i="4" s="1"/>
  <c r="N152" i="4" s="1"/>
  <c r="J151" i="4"/>
  <c r="K151" i="4" s="1"/>
  <c r="L151" i="4" s="1"/>
  <c r="N151" i="4" s="1"/>
  <c r="K150" i="4"/>
  <c r="L150" i="4" s="1"/>
  <c r="N150" i="4" s="1"/>
  <c r="J150" i="4"/>
  <c r="J149" i="4"/>
  <c r="K149" i="4" s="1"/>
  <c r="L149" i="4" s="1"/>
  <c r="N149" i="4" s="1"/>
  <c r="J148" i="4"/>
  <c r="K148" i="4" s="1"/>
  <c r="L148" i="4" s="1"/>
  <c r="N148" i="4" s="1"/>
  <c r="J147" i="4"/>
  <c r="K147" i="4" s="1"/>
  <c r="L147" i="4" s="1"/>
  <c r="N147" i="4" s="1"/>
  <c r="K146" i="4"/>
  <c r="L146" i="4" s="1"/>
  <c r="N146" i="4" s="1"/>
  <c r="J146" i="4"/>
  <c r="J145" i="4"/>
  <c r="K145" i="4" s="1"/>
  <c r="L145" i="4" s="1"/>
  <c r="N145" i="4" s="1"/>
  <c r="J144" i="4"/>
  <c r="K144" i="4" s="1"/>
  <c r="L144" i="4" s="1"/>
  <c r="N144" i="4" s="1"/>
  <c r="J143" i="4"/>
  <c r="K143" i="4" s="1"/>
  <c r="L143" i="4" s="1"/>
  <c r="N143" i="4" s="1"/>
  <c r="K142" i="4"/>
  <c r="L142" i="4" s="1"/>
  <c r="N142" i="4" s="1"/>
  <c r="J142" i="4"/>
  <c r="J141" i="4"/>
  <c r="K141" i="4" s="1"/>
  <c r="L141" i="4" s="1"/>
  <c r="N141" i="4" s="1"/>
  <c r="J140" i="4"/>
  <c r="K140" i="4" s="1"/>
  <c r="L140" i="4" s="1"/>
  <c r="N140" i="4" s="1"/>
  <c r="J139" i="4"/>
  <c r="K139" i="4" s="1"/>
  <c r="L139" i="4" s="1"/>
  <c r="N139" i="4" s="1"/>
  <c r="L138" i="4"/>
  <c r="N138" i="4" s="1"/>
  <c r="K138" i="4"/>
  <c r="J138" i="4"/>
  <c r="J137" i="4"/>
  <c r="K137" i="4" s="1"/>
  <c r="L137" i="4" s="1"/>
  <c r="N137" i="4" s="1"/>
  <c r="J136" i="4"/>
  <c r="K136" i="4" s="1"/>
  <c r="L136" i="4" s="1"/>
  <c r="N136" i="4" s="1"/>
  <c r="J135" i="4"/>
  <c r="K135" i="4" s="1"/>
  <c r="L135" i="4" s="1"/>
  <c r="N135" i="4" s="1"/>
  <c r="K134" i="4"/>
  <c r="L134" i="4" s="1"/>
  <c r="N134" i="4" s="1"/>
  <c r="J134" i="4"/>
  <c r="J133" i="4"/>
  <c r="K133" i="4" s="1"/>
  <c r="L133" i="4" s="1"/>
  <c r="N133" i="4" s="1"/>
  <c r="J132" i="4"/>
  <c r="K132" i="4" s="1"/>
  <c r="L132" i="4" s="1"/>
  <c r="N132" i="4" s="1"/>
  <c r="J131" i="4"/>
  <c r="K131" i="4" s="1"/>
  <c r="L131" i="4" s="1"/>
  <c r="N131" i="4" s="1"/>
  <c r="K130" i="4"/>
  <c r="L130" i="4" s="1"/>
  <c r="N130" i="4" s="1"/>
  <c r="J130" i="4"/>
  <c r="J129" i="4"/>
  <c r="K129" i="4" s="1"/>
  <c r="L129" i="4" s="1"/>
  <c r="N129" i="4" s="1"/>
  <c r="J128" i="4"/>
  <c r="K128" i="4" s="1"/>
  <c r="L128" i="4" s="1"/>
  <c r="N128" i="4" s="1"/>
  <c r="J127" i="4"/>
  <c r="K127" i="4" s="1"/>
  <c r="L127" i="4" s="1"/>
  <c r="N127" i="4" s="1"/>
  <c r="K126" i="4"/>
  <c r="L126" i="4" s="1"/>
  <c r="N126" i="4" s="1"/>
  <c r="J126" i="4"/>
  <c r="J125" i="4"/>
  <c r="K125" i="4" s="1"/>
  <c r="L125" i="4" s="1"/>
  <c r="N125" i="4" s="1"/>
  <c r="J124" i="4"/>
  <c r="K124" i="4" s="1"/>
  <c r="L124" i="4" s="1"/>
  <c r="N124" i="4" s="1"/>
  <c r="J123" i="4"/>
  <c r="K123" i="4" s="1"/>
  <c r="L123" i="4" s="1"/>
  <c r="N123" i="4" s="1"/>
  <c r="J122" i="4"/>
  <c r="K122" i="4" s="1"/>
  <c r="L122" i="4" s="1"/>
  <c r="N122" i="4" s="1"/>
  <c r="J121" i="4"/>
  <c r="K121" i="4" s="1"/>
  <c r="L121" i="4" s="1"/>
  <c r="N121" i="4" s="1"/>
  <c r="J120" i="4"/>
  <c r="K120" i="4" s="1"/>
  <c r="L120" i="4" s="1"/>
  <c r="N120" i="4" s="1"/>
  <c r="J119" i="4"/>
  <c r="K119" i="4" s="1"/>
  <c r="L119" i="4" s="1"/>
  <c r="N119" i="4" s="1"/>
  <c r="K118" i="4"/>
  <c r="L118" i="4" s="1"/>
  <c r="N118" i="4" s="1"/>
  <c r="J118" i="4"/>
  <c r="J117" i="4"/>
  <c r="K117" i="4" s="1"/>
  <c r="L117" i="4" s="1"/>
  <c r="N117" i="4" s="1"/>
  <c r="J116" i="4"/>
  <c r="K116" i="4" s="1"/>
  <c r="L116" i="4" s="1"/>
  <c r="N116" i="4" s="1"/>
  <c r="J115" i="4"/>
  <c r="K115" i="4" s="1"/>
  <c r="L115" i="4" s="1"/>
  <c r="N115" i="4" s="1"/>
  <c r="K114" i="4"/>
  <c r="L114" i="4" s="1"/>
  <c r="N114" i="4" s="1"/>
  <c r="J114" i="4"/>
  <c r="J113" i="4"/>
  <c r="K113" i="4" s="1"/>
  <c r="L113" i="4" s="1"/>
  <c r="N113" i="4" s="1"/>
  <c r="J112" i="4"/>
  <c r="K112" i="4" s="1"/>
  <c r="L112" i="4" s="1"/>
  <c r="N112" i="4" s="1"/>
  <c r="J111" i="4"/>
  <c r="K111" i="4" s="1"/>
  <c r="L111" i="4" s="1"/>
  <c r="N111" i="4" s="1"/>
  <c r="K110" i="4"/>
  <c r="L110" i="4" s="1"/>
  <c r="N110" i="4" s="1"/>
  <c r="J110" i="4"/>
  <c r="J109" i="4"/>
  <c r="K109" i="4" s="1"/>
  <c r="L109" i="4" s="1"/>
  <c r="N109" i="4" s="1"/>
  <c r="J108" i="4"/>
  <c r="K108" i="4" s="1"/>
  <c r="L108" i="4" s="1"/>
  <c r="N108" i="4" s="1"/>
  <c r="J107" i="4"/>
  <c r="K107" i="4" s="1"/>
  <c r="L107" i="4" s="1"/>
  <c r="N107" i="4" s="1"/>
  <c r="J106" i="4"/>
  <c r="K106" i="4" s="1"/>
  <c r="L106" i="4" s="1"/>
  <c r="N106" i="4" s="1"/>
  <c r="J105" i="4"/>
  <c r="K105" i="4" s="1"/>
  <c r="L105" i="4" s="1"/>
  <c r="N105" i="4" s="1"/>
  <c r="J104" i="4"/>
  <c r="K104" i="4" s="1"/>
  <c r="L104" i="4" s="1"/>
  <c r="N104" i="4" s="1"/>
  <c r="J103" i="4"/>
  <c r="K103" i="4" s="1"/>
  <c r="L103" i="4" s="1"/>
  <c r="N103" i="4" s="1"/>
  <c r="K102" i="4"/>
  <c r="L102" i="4" s="1"/>
  <c r="N102" i="4" s="1"/>
  <c r="J102" i="4"/>
  <c r="J101" i="4"/>
  <c r="K101" i="4" s="1"/>
  <c r="L101" i="4" s="1"/>
  <c r="N101" i="4" s="1"/>
  <c r="J100" i="4"/>
  <c r="K100" i="4" s="1"/>
  <c r="L100" i="4" s="1"/>
  <c r="N100" i="4" s="1"/>
  <c r="J99" i="4"/>
  <c r="K99" i="4" s="1"/>
  <c r="L99" i="4" s="1"/>
  <c r="N99" i="4" s="1"/>
  <c r="K98" i="4"/>
  <c r="L98" i="4" s="1"/>
  <c r="N98" i="4" s="1"/>
  <c r="J98" i="4"/>
  <c r="J97" i="4"/>
  <c r="K97" i="4" s="1"/>
  <c r="L97" i="4" s="1"/>
  <c r="N97" i="4" s="1"/>
  <c r="J96" i="4"/>
  <c r="K96" i="4" s="1"/>
  <c r="L96" i="4" s="1"/>
  <c r="N96" i="4" s="1"/>
  <c r="J95" i="4"/>
  <c r="K95" i="4" s="1"/>
  <c r="L95" i="4" s="1"/>
  <c r="N95" i="4" s="1"/>
  <c r="K94" i="4"/>
  <c r="L94" i="4" s="1"/>
  <c r="N94" i="4" s="1"/>
  <c r="J94" i="4"/>
  <c r="J93" i="4"/>
  <c r="K93" i="4" s="1"/>
  <c r="L93" i="4" s="1"/>
  <c r="N93" i="4" s="1"/>
  <c r="J92" i="4"/>
  <c r="K92" i="4" s="1"/>
  <c r="L92" i="4" s="1"/>
  <c r="N92" i="4" s="1"/>
  <c r="J91" i="4"/>
  <c r="K91" i="4" s="1"/>
  <c r="L91" i="4" s="1"/>
  <c r="N91" i="4" s="1"/>
  <c r="J90" i="4"/>
  <c r="K90" i="4" s="1"/>
  <c r="L90" i="4" s="1"/>
  <c r="N90" i="4" s="1"/>
  <c r="J89" i="4"/>
  <c r="K89" i="4" s="1"/>
  <c r="L89" i="4" s="1"/>
  <c r="N89" i="4" s="1"/>
  <c r="K88" i="4"/>
  <c r="L88" i="4" s="1"/>
  <c r="N88" i="4" s="1"/>
  <c r="J88" i="4"/>
  <c r="K87" i="4"/>
  <c r="L87" i="4" s="1"/>
  <c r="N87" i="4" s="1"/>
  <c r="J87" i="4"/>
  <c r="J86" i="4"/>
  <c r="K86" i="4" s="1"/>
  <c r="L86" i="4" s="1"/>
  <c r="N86" i="4" s="1"/>
  <c r="J85" i="4"/>
  <c r="K85" i="4" s="1"/>
  <c r="L85" i="4" s="1"/>
  <c r="N85" i="4" s="1"/>
  <c r="J84" i="4"/>
  <c r="K84" i="4" s="1"/>
  <c r="L84" i="4" s="1"/>
  <c r="N84" i="4" s="1"/>
  <c r="J83" i="4"/>
  <c r="K83" i="4" s="1"/>
  <c r="L83" i="4" s="1"/>
  <c r="N83" i="4" s="1"/>
  <c r="K82" i="4"/>
  <c r="L82" i="4" s="1"/>
  <c r="N82" i="4" s="1"/>
  <c r="J82" i="4"/>
  <c r="J81" i="4"/>
  <c r="K81" i="4" s="1"/>
  <c r="L81" i="4" s="1"/>
  <c r="N81" i="4" s="1"/>
  <c r="J80" i="4"/>
  <c r="K80" i="4" s="1"/>
  <c r="L80" i="4" s="1"/>
  <c r="N80" i="4" s="1"/>
  <c r="K79" i="4"/>
  <c r="L79" i="4" s="1"/>
  <c r="N79" i="4" s="1"/>
  <c r="J79" i="4"/>
  <c r="J78" i="4"/>
  <c r="K78" i="4" s="1"/>
  <c r="L78" i="4" s="1"/>
  <c r="N78" i="4" s="1"/>
  <c r="K77" i="4"/>
  <c r="L77" i="4" s="1"/>
  <c r="N77" i="4" s="1"/>
  <c r="J77" i="4"/>
  <c r="J76" i="4"/>
  <c r="K76" i="4" s="1"/>
  <c r="L76" i="4" s="1"/>
  <c r="N76" i="4" s="1"/>
  <c r="J75" i="4"/>
  <c r="K75" i="4" s="1"/>
  <c r="L75" i="4" s="1"/>
  <c r="N75" i="4" s="1"/>
  <c r="K74" i="4"/>
  <c r="L74" i="4" s="1"/>
  <c r="N74" i="4" s="1"/>
  <c r="J74" i="4"/>
  <c r="J73" i="4"/>
  <c r="K73" i="4" s="1"/>
  <c r="L73" i="4" s="1"/>
  <c r="N73" i="4" s="1"/>
  <c r="J72" i="4"/>
  <c r="K72" i="4" s="1"/>
  <c r="L72" i="4" s="1"/>
  <c r="N72" i="4" s="1"/>
  <c r="J71" i="4"/>
  <c r="K71" i="4" s="1"/>
  <c r="L71" i="4" s="1"/>
  <c r="N71" i="4" s="1"/>
  <c r="J70" i="4"/>
  <c r="K70" i="4" s="1"/>
  <c r="L70" i="4" s="1"/>
  <c r="N70" i="4" s="1"/>
  <c r="J69" i="4"/>
  <c r="K69" i="4" s="1"/>
  <c r="L69" i="4" s="1"/>
  <c r="N69" i="4" s="1"/>
  <c r="J68" i="4"/>
  <c r="K68" i="4" s="1"/>
  <c r="L68" i="4" s="1"/>
  <c r="N68" i="4" s="1"/>
  <c r="J67" i="4"/>
  <c r="K67" i="4" s="1"/>
  <c r="L67" i="4" s="1"/>
  <c r="N67" i="4" s="1"/>
  <c r="J66" i="4"/>
  <c r="K66" i="4" s="1"/>
  <c r="L66" i="4" s="1"/>
  <c r="N66" i="4" s="1"/>
  <c r="J65" i="4"/>
  <c r="K65" i="4" s="1"/>
  <c r="L65" i="4" s="1"/>
  <c r="N65" i="4" s="1"/>
  <c r="K64" i="4"/>
  <c r="L64" i="4" s="1"/>
  <c r="N64" i="4" s="1"/>
  <c r="J64" i="4"/>
  <c r="J63" i="4"/>
  <c r="K63" i="4" s="1"/>
  <c r="L63" i="4" s="1"/>
  <c r="N63" i="4" s="1"/>
  <c r="J62" i="4"/>
  <c r="K62" i="4" s="1"/>
  <c r="L62" i="4" s="1"/>
  <c r="N62" i="4" s="1"/>
  <c r="K61" i="4"/>
  <c r="L61" i="4" s="1"/>
  <c r="N61" i="4" s="1"/>
  <c r="J61" i="4"/>
  <c r="J60" i="4"/>
  <c r="K60" i="4" s="1"/>
  <c r="L60" i="4" s="1"/>
  <c r="N60" i="4" s="1"/>
  <c r="J59" i="4"/>
  <c r="K59" i="4" s="1"/>
  <c r="L59" i="4" s="1"/>
  <c r="N59" i="4" s="1"/>
  <c r="K58" i="4"/>
  <c r="L58" i="4" s="1"/>
  <c r="N58" i="4" s="1"/>
  <c r="J58" i="4"/>
  <c r="J57" i="4"/>
  <c r="K57" i="4" s="1"/>
  <c r="L57" i="4" s="1"/>
  <c r="N57" i="4" s="1"/>
  <c r="K56" i="4"/>
  <c r="L56" i="4" s="1"/>
  <c r="N56" i="4" s="1"/>
  <c r="J56" i="4"/>
  <c r="J55" i="4"/>
  <c r="K55" i="4" s="1"/>
  <c r="L55" i="4" s="1"/>
  <c r="N55" i="4" s="1"/>
  <c r="J54" i="4"/>
  <c r="K54" i="4" s="1"/>
  <c r="L54" i="4" s="1"/>
  <c r="N54" i="4" s="1"/>
  <c r="K53" i="4"/>
  <c r="L53" i="4" s="1"/>
  <c r="N53" i="4" s="1"/>
  <c r="J53" i="4"/>
  <c r="J52" i="4"/>
  <c r="K52" i="4" s="1"/>
  <c r="L52" i="4" s="1"/>
  <c r="N52" i="4" s="1"/>
  <c r="J51" i="4"/>
  <c r="K51" i="4" s="1"/>
  <c r="L51" i="4" s="1"/>
  <c r="N51" i="4" s="1"/>
  <c r="K50" i="4"/>
  <c r="L50" i="4" s="1"/>
  <c r="N50" i="4" s="1"/>
  <c r="J50" i="4"/>
  <c r="J49" i="4"/>
  <c r="K49" i="4" s="1"/>
  <c r="L49" i="4" s="1"/>
  <c r="N49" i="4" s="1"/>
  <c r="K48" i="4"/>
  <c r="L48" i="4" s="1"/>
  <c r="N48" i="4" s="1"/>
  <c r="J48" i="4"/>
  <c r="J47" i="4"/>
  <c r="K47" i="4" s="1"/>
  <c r="L47" i="4" s="1"/>
  <c r="N47" i="4" s="1"/>
  <c r="J46" i="4"/>
  <c r="K46" i="4" s="1"/>
  <c r="L46" i="4" s="1"/>
  <c r="N46" i="4" s="1"/>
  <c r="K45" i="4"/>
  <c r="L45" i="4" s="1"/>
  <c r="N45" i="4" s="1"/>
  <c r="J45" i="4"/>
  <c r="J44" i="4"/>
  <c r="K44" i="4" s="1"/>
  <c r="L44" i="4" s="1"/>
  <c r="N44" i="4" s="1"/>
  <c r="J43" i="4"/>
  <c r="K43" i="4" s="1"/>
  <c r="L43" i="4" s="1"/>
  <c r="N43" i="4" s="1"/>
  <c r="K42" i="4"/>
  <c r="L42" i="4" s="1"/>
  <c r="N42" i="4" s="1"/>
  <c r="J42" i="4"/>
  <c r="J41" i="4"/>
  <c r="K41" i="4" s="1"/>
  <c r="L41" i="4" s="1"/>
  <c r="N41" i="4" s="1"/>
  <c r="J40" i="4"/>
  <c r="K40" i="4" s="1"/>
  <c r="L40" i="4" s="1"/>
  <c r="N40" i="4" s="1"/>
  <c r="J39" i="4"/>
  <c r="K39" i="4" s="1"/>
  <c r="L39" i="4" s="1"/>
  <c r="N39" i="4" s="1"/>
  <c r="J38" i="4"/>
  <c r="K38" i="4" s="1"/>
  <c r="L38" i="4" s="1"/>
  <c r="N38" i="4" s="1"/>
  <c r="J37" i="4"/>
  <c r="K37" i="4" s="1"/>
  <c r="L37" i="4" s="1"/>
  <c r="N37" i="4" s="1"/>
  <c r="J36" i="4"/>
  <c r="K36" i="4" s="1"/>
  <c r="L36" i="4" s="1"/>
  <c r="N36" i="4" s="1"/>
  <c r="J35" i="4"/>
  <c r="K35" i="4" s="1"/>
  <c r="L35" i="4" s="1"/>
  <c r="N35" i="4" s="1"/>
  <c r="J34" i="4"/>
  <c r="K34" i="4" s="1"/>
  <c r="L34" i="4" s="1"/>
  <c r="N34" i="4" s="1"/>
  <c r="J33" i="4"/>
  <c r="K33" i="4" s="1"/>
  <c r="L33" i="4" s="1"/>
  <c r="N33" i="4" s="1"/>
  <c r="K32" i="4"/>
  <c r="L32" i="4" s="1"/>
  <c r="N32" i="4" s="1"/>
  <c r="J32" i="4"/>
  <c r="J31" i="4"/>
  <c r="K31" i="4" s="1"/>
  <c r="L31" i="4" s="1"/>
  <c r="N31" i="4" s="1"/>
  <c r="J30" i="4"/>
  <c r="K30" i="4" s="1"/>
  <c r="L30" i="4" s="1"/>
  <c r="N30" i="4" s="1"/>
  <c r="K29" i="4"/>
  <c r="L29" i="4" s="1"/>
  <c r="N29" i="4" s="1"/>
  <c r="J29" i="4"/>
  <c r="J28" i="4"/>
  <c r="K28" i="4" s="1"/>
  <c r="L28" i="4" s="1"/>
  <c r="N28" i="4" s="1"/>
  <c r="J27" i="4"/>
  <c r="K27" i="4" s="1"/>
  <c r="L27" i="4" s="1"/>
  <c r="N27" i="4" s="1"/>
  <c r="K26" i="4"/>
  <c r="L26" i="4" s="1"/>
  <c r="N26" i="4" s="1"/>
  <c r="J26" i="4"/>
  <c r="J25" i="4"/>
  <c r="K25" i="4" s="1"/>
  <c r="L25" i="4" s="1"/>
  <c r="N25" i="4" s="1"/>
  <c r="K24" i="4"/>
  <c r="L24" i="4" s="1"/>
  <c r="N24" i="4" s="1"/>
  <c r="J24" i="4"/>
  <c r="J23" i="4"/>
  <c r="K23" i="4" s="1"/>
  <c r="L23" i="4" s="1"/>
  <c r="N23" i="4" s="1"/>
  <c r="J22" i="4"/>
  <c r="K22" i="4" s="1"/>
  <c r="L22" i="4" s="1"/>
  <c r="N22" i="4" s="1"/>
  <c r="K21" i="4"/>
  <c r="L21" i="4" s="1"/>
  <c r="N21" i="4" s="1"/>
  <c r="J21" i="4"/>
  <c r="J20" i="4"/>
  <c r="K20" i="4" s="1"/>
  <c r="L20" i="4" s="1"/>
  <c r="N20" i="4" s="1"/>
  <c r="J19" i="4"/>
  <c r="K19" i="4" s="1"/>
  <c r="L19" i="4" s="1"/>
  <c r="N19" i="4" s="1"/>
  <c r="J18" i="4"/>
  <c r="K18" i="4" s="1"/>
  <c r="L18" i="4" s="1"/>
  <c r="N18" i="4" s="1"/>
  <c r="J17" i="4"/>
  <c r="K17" i="4" s="1"/>
  <c r="L17" i="4" s="1"/>
  <c r="N17" i="4" s="1"/>
  <c r="J16" i="4"/>
  <c r="K16" i="4" s="1"/>
  <c r="L16" i="4" s="1"/>
  <c r="N16" i="4" s="1"/>
  <c r="J15" i="4"/>
  <c r="K15" i="4" s="1"/>
  <c r="L15" i="4" s="1"/>
  <c r="N15" i="4" s="1"/>
  <c r="J14" i="4"/>
  <c r="K14" i="4" s="1"/>
  <c r="L14" i="4" s="1"/>
  <c r="N14" i="4" s="1"/>
  <c r="J13" i="4"/>
  <c r="K13" i="4" s="1"/>
  <c r="L13" i="4" s="1"/>
  <c r="N13" i="4" s="1"/>
  <c r="J12" i="4"/>
  <c r="K12" i="4" s="1"/>
  <c r="L12" i="4" s="1"/>
  <c r="N12" i="4" s="1"/>
  <c r="J11" i="4"/>
  <c r="K11" i="4" s="1"/>
  <c r="L11" i="4" s="1"/>
  <c r="N11" i="4" s="1"/>
  <c r="J10" i="4"/>
  <c r="K10" i="4" s="1"/>
  <c r="L10" i="4" s="1"/>
  <c r="N10" i="4" s="1"/>
  <c r="J9" i="4"/>
  <c r="K9" i="4" s="1"/>
  <c r="L9" i="4" s="1"/>
  <c r="N9" i="4" s="1"/>
  <c r="J8" i="4"/>
  <c r="K8" i="4" s="1"/>
  <c r="L8" i="4" s="1"/>
  <c r="N8" i="4" s="1"/>
  <c r="J7" i="4"/>
  <c r="K7" i="4" s="1"/>
  <c r="L7" i="4" s="1"/>
  <c r="N7" i="4" s="1"/>
  <c r="N5" i="4"/>
  <c r="H3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author>
  </authors>
  <commentList>
    <comment ref="N4" authorId="0" shapeId="0" xr:uid="{00000000-0006-0000-0300-000001000000}">
      <text>
        <r>
          <rPr>
            <sz val="10"/>
            <rFont val="Century Gothic"/>
            <family val="2"/>
            <scheme val="minor"/>
          </rPr>
          <t xml:space="preserve">LE:
Please Entered
 Me Value
</t>
        </r>
      </text>
    </comment>
  </commentList>
</comments>
</file>

<file path=xl/sharedStrings.xml><?xml version="1.0" encoding="utf-8"?>
<sst xmlns="http://schemas.openxmlformats.org/spreadsheetml/2006/main" count="241" uniqueCount="114">
  <si>
    <t>Enter Company Logo in cell at right. Title of this worksheet is in cell E2.</t>
  </si>
  <si>
    <t>Invoice</t>
  </si>
  <si>
    <t>Enter Company Name in cell at right and Date in cell H3.</t>
  </si>
  <si>
    <t xml:space="preserve">UA International </t>
  </si>
  <si>
    <t>Date:</t>
  </si>
  <si>
    <t>Enter Company Slogan in cell at right and Invoice number in cell H4.</t>
  </si>
  <si>
    <t xml:space="preserve">                           IT Solution provider</t>
  </si>
  <si>
    <t>Invoice #:</t>
  </si>
  <si>
    <t>Enter Customer ID in cell H5.</t>
  </si>
  <si>
    <t xml:space="preserve">        </t>
  </si>
  <si>
    <t>To label is in cell at right and Ship to label in cell E6. Enter bill To details such as Name, Company Name, Address, and Phone number in cells C6 through C10, and Ship To details in cells F6 through F10. Next instruction is in cell A12.</t>
  </si>
  <si>
    <t>Client Bill :</t>
  </si>
  <si>
    <t>Arif Habib LTD</t>
  </si>
  <si>
    <t xml:space="preserve">Address:9 Floor Office # 905 Uni Center  </t>
  </si>
  <si>
    <t>II Chundrigar Road Karachi.</t>
  </si>
  <si>
    <t>NTN :</t>
  </si>
  <si>
    <t>Enter information in Sales Details table starting in cell at right. Next instruction is in cell A15.</t>
  </si>
  <si>
    <t>Column1</t>
  </si>
  <si>
    <t>Job</t>
  </si>
  <si>
    <t>Shipping Method</t>
  </si>
  <si>
    <t>Shipping Terms</t>
  </si>
  <si>
    <t>Delivery Date</t>
  </si>
  <si>
    <t>Payment Terms</t>
  </si>
  <si>
    <t>Due Date</t>
  </si>
  <si>
    <t xml:space="preserve">30 Days </t>
  </si>
  <si>
    <t>Enter information in Invoice table starting in cell at right. Total Discount, Subtotal, and Total are auto calculated at the end. Next instruction is in cell A42.</t>
  </si>
  <si>
    <t>S/No</t>
  </si>
  <si>
    <t>Brand</t>
  </si>
  <si>
    <t>Description</t>
  </si>
  <si>
    <t>Qty</t>
  </si>
  <si>
    <t>Unit Price</t>
  </si>
  <si>
    <t>Discount</t>
  </si>
  <si>
    <t>Line Total</t>
  </si>
  <si>
    <t>Total Discount</t>
  </si>
  <si>
    <t>Subtotal</t>
  </si>
  <si>
    <t>Total</t>
  </si>
  <si>
    <t>Amount In Words:</t>
  </si>
  <si>
    <t>Thank you for your business!</t>
  </si>
  <si>
    <t>Company Name is auto updated in cell E42.</t>
  </si>
  <si>
    <t>Thank You message is in cell at right.</t>
  </si>
  <si>
    <t>Enter Company Street Address, City, State, ZIP Code, Phone and Fax numbers, and E-mail address in cell at right.</t>
  </si>
  <si>
    <t>Abdul Rehman Garments</t>
  </si>
  <si>
    <t>Arif Habib Corporation</t>
  </si>
  <si>
    <t>Arif Habib Limitd</t>
  </si>
  <si>
    <t>Arif Habib Limited</t>
  </si>
  <si>
    <t>BDO</t>
  </si>
  <si>
    <t>BDO Pakistan</t>
  </si>
  <si>
    <t>Blue Light Computers</t>
  </si>
  <si>
    <t>CASH</t>
  </si>
  <si>
    <t>FESF</t>
  </si>
  <si>
    <t>Habib Public</t>
  </si>
  <si>
    <t>Habib Public School</t>
  </si>
  <si>
    <t>Harmain Jewellers</t>
  </si>
  <si>
    <t>Harmain Jewelllers</t>
  </si>
  <si>
    <t>Harmain Jweler</t>
  </si>
  <si>
    <t>MSN</t>
  </si>
  <si>
    <t>Maple Pharmaceuticals</t>
  </si>
  <si>
    <t>Maple pharma</t>
  </si>
  <si>
    <t>Mega Textiles</t>
  </si>
  <si>
    <t>Mr.Naseem Baig</t>
  </si>
  <si>
    <t>Mr.Taha</t>
  </si>
  <si>
    <t>NCCPL</t>
  </si>
  <si>
    <t>NRT</t>
  </si>
  <si>
    <t>NoorulQur’an madrsa</t>
  </si>
  <si>
    <t>Murtaza Jaffrani</t>
  </si>
  <si>
    <t>S.Ejazuddin &amp; Co.</t>
  </si>
  <si>
    <t>S.Ejazuddin and Co.</t>
  </si>
  <si>
    <t>S.Ejazudin &amp; Co.</t>
  </si>
  <si>
    <t>SSFR</t>
  </si>
  <si>
    <t>SSFR (PVT) LTD.</t>
  </si>
  <si>
    <t>SSFR PVT LTD</t>
  </si>
  <si>
    <t>SSFR PVT. LTD.</t>
  </si>
  <si>
    <t>Sana Safinaz</t>
  </si>
  <si>
    <t>Shajar Capital</t>
  </si>
  <si>
    <t>Meezan Bank</t>
  </si>
  <si>
    <t>TAJ CORPORATION</t>
  </si>
  <si>
    <t>Virtuesoft</t>
  </si>
  <si>
    <t>GST Calculator</t>
  </si>
  <si>
    <t>GST Tax %</t>
  </si>
  <si>
    <t>GST Tax @18% Full</t>
  </si>
  <si>
    <t>Value</t>
  </si>
  <si>
    <t>Date</t>
  </si>
  <si>
    <t>Invoice No</t>
  </si>
  <si>
    <t>Part Name</t>
  </si>
  <si>
    <t>Total Amount</t>
  </si>
  <si>
    <t>Add GST Tax @18% Full</t>
  </si>
  <si>
    <t>Total Value Including Tax</t>
  </si>
  <si>
    <t>Total Net Value After Discount</t>
  </si>
  <si>
    <t>Less GST Tax @5.5%</t>
  </si>
  <si>
    <t>Remaining Value</t>
  </si>
  <si>
    <t>Less GST Tax @18% Value</t>
  </si>
  <si>
    <t>Transfer Amount</t>
  </si>
  <si>
    <t>Profit Amount</t>
  </si>
  <si>
    <t xml:space="preserve">Mr.Naseem Baig </t>
  </si>
  <si>
    <t xml:space="preserve">Arif Habib Limited </t>
  </si>
  <si>
    <t xml:space="preserve">Mr.Taha </t>
  </si>
  <si>
    <t xml:space="preserve">Habib Public School </t>
  </si>
  <si>
    <t xml:space="preserve">BDO Pakistan </t>
  </si>
  <si>
    <t xml:space="preserve">Maple Pharmaceuticals </t>
  </si>
  <si>
    <t xml:space="preserve">Shajar Capital </t>
  </si>
  <si>
    <t xml:space="preserve">Sana Safinaz </t>
  </si>
  <si>
    <t xml:space="preserve">Arif Habib Limitd </t>
  </si>
  <si>
    <t xml:space="preserve">PCG Gawadar </t>
  </si>
  <si>
    <t xml:space="preserve">Blue Light </t>
  </si>
  <si>
    <t xml:space="preserve">Harmain Jewelllers </t>
  </si>
  <si>
    <t xml:space="preserve">Harmain Jewellers </t>
  </si>
  <si>
    <t xml:space="preserve">SSFR PVT LTD </t>
  </si>
  <si>
    <t xml:space="preserve">CASH </t>
  </si>
  <si>
    <t xml:space="preserve">NRT </t>
  </si>
  <si>
    <t xml:space="preserve">Sogo </t>
  </si>
  <si>
    <t xml:space="preserve">Maple pharma </t>
  </si>
  <si>
    <t>Address</t>
  </si>
  <si>
    <t>Contact Person</t>
  </si>
  <si>
    <t>Zero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</si>
</sst>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_(* \(#,##0\);_(* &quot;-&quot;_);_(@_)"/>
    <numFmt numFmtId="43" formatCode="_(* #,##0.00_);_(* \(#,##0.00\);_(* &quot;-&quot;??_);_(@_)"/>
    <numFmt numFmtId="164" formatCode="[$-409]dd\-mmm\-yy;@"/>
    <numFmt numFmtId="165" formatCode="[$-409]d\-mmm\-yy;@"/>
    <numFmt numFmtId="166" formatCode="0.0%"/>
    <numFmt numFmtId="167" formatCode="_(* #,##0_);_(* \(#,##0\);_(* &quot;-&quot;??_);_(@_)"/>
    <numFmt numFmtId="168" formatCode="m/d/yy;@"/>
    <numFmt numFmtId="169" formatCode="\(&quot;Sale Tax&quot;\).%"/>
  </numFmts>
  <fonts count="75" x14ac:knownFonts="1">
    <font>
      <sz val="10"/>
      <name val="Century Gothic"/>
      <family val="2"/>
      <scheme val="minor"/>
    </font>
    <font>
      <sz val="10"/>
      <color theme="1" tint="0.249977111117893"/>
      <name val="Century Gothic"/>
      <family val="1"/>
      <scheme val="minor"/>
    </font>
    <font>
      <sz val="8"/>
      <color theme="1" tint="0.249977111117893"/>
      <name val="Century Gothic"/>
      <family val="1"/>
      <scheme val="minor"/>
    </font>
    <font>
      <sz val="9"/>
      <color theme="1" tint="0.249977111117893"/>
      <name val="Century Gothic"/>
      <family val="1"/>
      <scheme val="minor"/>
    </font>
    <font>
      <b/>
      <sz val="10"/>
      <color theme="1" tint="0.249977111117893"/>
      <name val="Century Gothic"/>
      <family val="1"/>
      <scheme val="minor"/>
    </font>
    <font>
      <sz val="8"/>
      <color theme="1" tint="0.249977111117893"/>
      <name val="Century Gothic"/>
      <family val="2"/>
      <scheme val="minor"/>
    </font>
    <font>
      <b/>
      <sz val="10"/>
      <color theme="0"/>
      <name val="Century Gothic"/>
      <family val="2"/>
      <scheme val="major"/>
    </font>
    <font>
      <b/>
      <sz val="45"/>
      <color theme="6"/>
      <name val="Century Gothic"/>
      <family val="2"/>
      <scheme val="minor"/>
    </font>
    <font>
      <b/>
      <sz val="48"/>
      <color theme="6"/>
      <name val="Century Gothic"/>
      <family val="2"/>
      <scheme val="minor"/>
    </font>
    <font>
      <b/>
      <sz val="12"/>
      <color theme="6"/>
      <name val="Century Gothic"/>
      <family val="2"/>
      <scheme val="major"/>
    </font>
    <font>
      <b/>
      <sz val="10"/>
      <color theme="6"/>
      <name val="Century Gothic"/>
      <family val="2"/>
      <scheme val="major"/>
    </font>
    <font>
      <b/>
      <sz val="10"/>
      <color theme="1"/>
      <name val="Century Gothic"/>
      <family val="2"/>
      <scheme val="major"/>
    </font>
    <font>
      <b/>
      <sz val="10"/>
      <color theme="6"/>
      <name val="Century Gothic"/>
      <family val="2"/>
      <scheme val="minor"/>
    </font>
    <font>
      <sz val="12"/>
      <color theme="0"/>
      <name val="Century Gothic"/>
      <family val="1"/>
      <scheme val="minor"/>
    </font>
    <font>
      <sz val="11"/>
      <color theme="0"/>
      <name val="Calibri"/>
      <family val="2"/>
    </font>
    <font>
      <sz val="8"/>
      <color theme="0"/>
      <name val="Century Gothic"/>
      <family val="1"/>
      <scheme val="minor"/>
    </font>
    <font>
      <sz val="10"/>
      <color theme="0"/>
      <name val="Century Gothic"/>
      <family val="1"/>
      <scheme val="minor"/>
    </font>
    <font>
      <sz val="10"/>
      <name val="Century Gothic"/>
      <family val="2"/>
      <scheme val="minor"/>
    </font>
    <font>
      <b/>
      <sz val="9"/>
      <color theme="1" tint="0.249977111117893"/>
      <name val="Century Gothic"/>
      <family val="2"/>
      <scheme val="minor"/>
    </font>
    <font>
      <b/>
      <sz val="11"/>
      <color theme="1" tint="0.249977111117893"/>
      <name val="Century Gothic"/>
      <family val="2"/>
      <scheme val="minor"/>
    </font>
    <font>
      <b/>
      <sz val="20"/>
      <color theme="6"/>
      <name val="Century Gothic"/>
      <family val="2"/>
      <scheme val="major"/>
    </font>
    <font>
      <b/>
      <sz val="11"/>
      <color theme="6"/>
      <name val="Century Gothic"/>
      <family val="2"/>
      <scheme val="major"/>
    </font>
    <font>
      <sz val="16"/>
      <color theme="6"/>
      <name val="Century Gothic"/>
      <family val="1"/>
      <scheme val="minor"/>
    </font>
    <font>
      <b/>
      <sz val="12"/>
      <color theme="1" tint="0.249977111117893"/>
      <name val="Century Gothic"/>
      <family val="2"/>
      <scheme val="minor"/>
    </font>
    <font>
      <b/>
      <sz val="9"/>
      <color theme="8"/>
      <name val="Century Gothic"/>
      <family val="2"/>
      <scheme val="major"/>
    </font>
    <font>
      <b/>
      <sz val="36"/>
      <color theme="6"/>
      <name val="Century Gothic"/>
      <family val="2"/>
      <scheme val="minor"/>
    </font>
    <font>
      <b/>
      <sz val="12"/>
      <color theme="0"/>
      <name val="Century Gothic"/>
      <family val="2"/>
      <scheme val="minor"/>
    </font>
    <font>
      <sz val="12"/>
      <color theme="1" tint="0.249977111117893"/>
      <name val="Century Gothic"/>
      <family val="2"/>
      <scheme val="minor"/>
    </font>
    <font>
      <b/>
      <sz val="14"/>
      <color theme="0"/>
      <name val="Century Gothic"/>
      <family val="2"/>
      <scheme val="minor"/>
    </font>
    <font>
      <sz val="14"/>
      <name val="Century Gothic"/>
      <family val="2"/>
      <scheme val="minor"/>
    </font>
    <font>
      <b/>
      <sz val="14"/>
      <name val="Century Gothic"/>
      <family val="2"/>
      <scheme val="minor"/>
    </font>
    <font>
      <sz val="14"/>
      <color theme="0"/>
      <name val="Century Gothic"/>
      <family val="2"/>
      <scheme val="minor"/>
    </font>
    <font>
      <sz val="14"/>
      <color theme="1" tint="0.249977111117893"/>
      <name val="Century Gothic"/>
      <family val="2"/>
      <scheme val="minor"/>
    </font>
    <font>
      <b/>
      <sz val="14"/>
      <color theme="6"/>
      <name val="Century Gothic"/>
      <family val="2"/>
      <scheme val="major"/>
    </font>
    <font>
      <b/>
      <sz val="14"/>
      <color theme="1" tint="0.249977111117893"/>
      <name val="Century Gothic"/>
      <family val="2"/>
      <scheme val="minor"/>
    </font>
    <font>
      <b/>
      <sz val="16"/>
      <color theme="6"/>
      <name val="Century Gothic"/>
      <family val="2"/>
      <scheme val="major"/>
    </font>
    <font>
      <b/>
      <sz val="22"/>
      <color theme="6"/>
      <name val="Century Gothic"/>
      <family val="2"/>
      <scheme val="major"/>
    </font>
    <font>
      <sz val="20"/>
      <color theme="6"/>
      <name val="Century Gothic"/>
      <family val="1"/>
      <scheme val="minor"/>
    </font>
    <font>
      <b/>
      <u/>
      <sz val="14"/>
      <color theme="1" tint="0.249977111117893"/>
      <name val="Century Gothic"/>
      <family val="2"/>
      <scheme val="minor"/>
    </font>
    <font>
      <sz val="20"/>
      <color theme="1"/>
      <name val="Century Gothic"/>
      <family val="2"/>
      <scheme val="minor"/>
    </font>
    <font>
      <sz val="12"/>
      <color theme="1"/>
      <name val="Stencil"/>
      <family val="5"/>
    </font>
    <font>
      <b/>
      <sz val="12"/>
      <color theme="0"/>
      <name val="Times New Roman"/>
      <family val="1"/>
    </font>
    <font>
      <sz val="12"/>
      <color theme="1"/>
      <name val="Century Gothic"/>
      <family val="2"/>
      <scheme val="minor"/>
    </font>
    <font>
      <sz val="20"/>
      <color theme="0"/>
      <name val="Century Gothic"/>
      <family val="2"/>
      <scheme val="minor"/>
    </font>
    <font>
      <b/>
      <sz val="10"/>
      <color theme="0"/>
      <name val="Times New Roman"/>
      <family val="1"/>
    </font>
    <font>
      <sz val="10"/>
      <color theme="1"/>
      <name val="Century Gothic"/>
      <family val="2"/>
      <scheme val="minor"/>
    </font>
    <font>
      <sz val="11"/>
      <name val="Arial"/>
      <family val="2"/>
    </font>
    <font>
      <sz val="11"/>
      <color theme="1"/>
      <name val="Arial"/>
      <family val="2"/>
    </font>
    <font>
      <b/>
      <sz val="10"/>
      <color theme="1"/>
      <name val="Times New Roman"/>
      <family val="1"/>
    </font>
    <font>
      <sz val="13"/>
      <name val="Century Gothic"/>
      <family val="2"/>
      <scheme val="minor"/>
    </font>
    <font>
      <b/>
      <sz val="13"/>
      <name val="Century Gothic"/>
      <family val="2"/>
      <scheme val="minor"/>
    </font>
    <font>
      <sz val="14"/>
      <color rgb="FF000000"/>
      <name val="Arial Black"/>
      <family val="2"/>
    </font>
    <font>
      <sz val="11"/>
      <name val="Arial"/>
      <family val="2"/>
    </font>
    <font>
      <sz val="11"/>
      <color theme="1"/>
      <name val="Arial"/>
      <family val="2"/>
    </font>
    <font>
      <sz val="11"/>
      <name val="Arial"/>
      <family val="2"/>
    </font>
    <font>
      <sz val="11"/>
      <color theme="1"/>
      <name val="Arial"/>
      <family val="2"/>
    </font>
    <font>
      <sz val="11"/>
      <name val="Arial"/>
      <family val="2"/>
    </font>
    <font>
      <sz val="11"/>
      <color theme="1"/>
      <name val="Arial"/>
      <family val="2"/>
    </font>
    <font>
      <sz val="11"/>
      <name val="Century Gothic"/>
      <family val="2"/>
      <scheme val="minor"/>
    </font>
    <font>
      <b/>
      <sz val="11"/>
      <name val="Century Gothic"/>
      <family val="2"/>
      <scheme val="minor"/>
    </font>
    <font>
      <sz val="11"/>
      <name val="Arial"/>
      <family val="2"/>
    </font>
    <font>
      <sz val="11"/>
      <color theme="1"/>
      <name val="Arial"/>
      <family val="2"/>
    </font>
    <font>
      <sz val="11"/>
      <name val="Arial"/>
      <family val="2"/>
    </font>
    <font>
      <sz val="11"/>
      <color theme="1"/>
      <name val="Arial"/>
      <family val="2"/>
    </font>
    <font>
      <b/>
      <sz val="12"/>
      <color theme="1" tint="0.249977111117893"/>
      <name val="Century Gothic"/>
      <family val="2"/>
      <scheme val="major"/>
    </font>
    <font>
      <sz val="11"/>
      <name val="Arial"/>
      <family val="2"/>
    </font>
    <font>
      <sz val="11"/>
      <color theme="1"/>
      <name val="Arial"/>
      <family val="2"/>
    </font>
    <font>
      <sz val="12"/>
      <name val="Century Gothic"/>
      <family val="2"/>
      <scheme val="minor"/>
    </font>
    <font>
      <b/>
      <sz val="12"/>
      <name val="Century Gothic"/>
      <family val="2"/>
      <scheme val="minor"/>
    </font>
    <font>
      <sz val="11"/>
      <name val="Arial"/>
      <family val="2"/>
    </font>
    <font>
      <sz val="11"/>
      <color theme="1"/>
      <name val="Arial"/>
      <family val="2"/>
    </font>
    <font>
      <sz val="11"/>
      <name val="Arial"/>
      <family val="2"/>
    </font>
    <font>
      <sz val="11"/>
      <color theme="1"/>
      <name val="Arial"/>
      <family val="2"/>
    </font>
    <font>
      <sz val="11"/>
      <name val="Arial"/>
    </font>
    <font>
      <sz val="11"/>
      <color theme="1"/>
      <name val="Arial"/>
    </font>
  </fonts>
  <fills count="13">
    <fill>
      <patternFill patternType="none"/>
    </fill>
    <fill>
      <patternFill patternType="gray125"/>
    </fill>
    <fill>
      <patternFill patternType="solid">
        <fgColor indexed="9"/>
        <bgColor indexed="64"/>
      </patternFill>
    </fill>
    <fill>
      <patternFill patternType="solid">
        <fgColor theme="6"/>
        <bgColor indexed="64"/>
      </patternFill>
    </fill>
    <fill>
      <patternFill patternType="solid">
        <fgColor theme="6" tint="0.79998168889431442"/>
        <bgColor indexed="64"/>
      </patternFill>
    </fill>
    <fill>
      <patternFill patternType="solid">
        <fgColor theme="8"/>
        <bgColor indexed="64"/>
      </patternFill>
    </fill>
    <fill>
      <patternFill patternType="solid">
        <fgColor theme="0"/>
        <bgColor indexed="64"/>
      </patternFill>
    </fill>
    <fill>
      <patternFill patternType="solid">
        <fgColor rgb="FFD5E0EA"/>
        <bgColor indexed="64"/>
      </patternFill>
    </fill>
    <fill>
      <patternFill patternType="solid">
        <fgColor theme="5" tint="0.39997558519241921"/>
        <bgColor indexed="64"/>
      </patternFill>
    </fill>
    <fill>
      <patternFill patternType="solid">
        <fgColor theme="3"/>
        <bgColor indexed="64"/>
      </patternFill>
    </fill>
    <fill>
      <patternFill patternType="solid">
        <fgColor rgb="FF00B050"/>
        <bgColor indexed="64"/>
      </patternFill>
    </fill>
    <fill>
      <patternFill patternType="solid">
        <fgColor theme="3"/>
        <bgColor theme="4"/>
      </patternFill>
    </fill>
    <fill>
      <patternFill patternType="solid">
        <fgColor theme="2" tint="-0.89999084444715716"/>
        <bgColor indexed="64"/>
      </patternFill>
    </fill>
  </fills>
  <borders count="24">
    <border>
      <left/>
      <right/>
      <top/>
      <bottom/>
      <diagonal/>
    </border>
    <border>
      <left/>
      <right/>
      <top/>
      <bottom style="double">
        <color theme="8" tint="-0.249977111117893"/>
      </bottom>
      <diagonal/>
    </border>
    <border>
      <left/>
      <right/>
      <top/>
      <bottom style="medium">
        <color theme="8" tint="-0.249977111117893"/>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right style="medium">
        <color theme="0" tint="-0.249977111117893"/>
      </right>
      <top/>
      <bottom/>
      <diagonal/>
    </border>
    <border>
      <left/>
      <right/>
      <top/>
      <bottom style="medium">
        <color theme="0" tint="-0.249977111117893"/>
      </bottom>
      <diagonal/>
    </border>
    <border>
      <left/>
      <right style="medium">
        <color theme="0" tint="-0.249977111117893"/>
      </right>
      <top/>
      <bottom style="medium">
        <color theme="0" tint="-0.249977111117893"/>
      </bottom>
      <diagonal/>
    </border>
    <border>
      <left style="medium">
        <color theme="0" tint="-0.249977111117893"/>
      </left>
      <right style="medium">
        <color theme="0" tint="-0.249977111117893"/>
      </right>
      <top style="medium">
        <color theme="0" tint="-0.249977111117893"/>
      </top>
      <bottom style="thick">
        <color theme="0"/>
      </bottom>
      <diagonal/>
    </border>
    <border>
      <left style="medium">
        <color theme="0" tint="-0.249977111117893"/>
      </left>
      <right style="medium">
        <color theme="0" tint="-0.249977111117893"/>
      </right>
      <top style="medium">
        <color theme="0" tint="-0.249977111117893"/>
      </top>
      <bottom/>
      <diagonal/>
    </border>
    <border>
      <left style="medium">
        <color theme="0" tint="-0.249977111117893"/>
      </left>
      <right style="medium">
        <color theme="0" tint="-0.249977111117893"/>
      </right>
      <top/>
      <bottom/>
      <diagonal/>
    </border>
    <border>
      <left style="medium">
        <color theme="0" tint="-0.249977111117893"/>
      </left>
      <right style="medium">
        <color theme="0" tint="-0.249977111117893"/>
      </right>
      <top/>
      <bottom style="medium">
        <color theme="0" tint="-0.249977111117893"/>
      </bottom>
      <diagonal/>
    </border>
    <border>
      <left style="medium">
        <color theme="0" tint="-0.249977111117893"/>
      </left>
      <right style="medium">
        <color theme="0" tint="-0.249977111117893"/>
      </right>
      <top style="thick">
        <color theme="0"/>
      </top>
      <bottom/>
      <diagonal/>
    </border>
    <border>
      <left style="medium">
        <color theme="0" tint="-0.249977111117893"/>
      </left>
      <right/>
      <top style="medium">
        <color theme="0" tint="-0.249977111117893"/>
      </top>
      <bottom/>
      <diagonal/>
    </border>
    <border>
      <left/>
      <right/>
      <top style="medium">
        <color theme="8" tint="-0.249977111117893"/>
      </top>
      <bottom/>
      <diagonal/>
    </border>
    <border>
      <left/>
      <right/>
      <top style="double">
        <color theme="8" tint="-0.249977111117893"/>
      </top>
      <bottom/>
      <diagonal/>
    </border>
    <border>
      <left/>
      <right/>
      <top/>
      <bottom style="thin">
        <color indexed="64"/>
      </bottom>
      <diagonal/>
    </border>
    <border>
      <left style="thin">
        <color indexed="64"/>
      </left>
      <right/>
      <top style="thin">
        <color indexed="64"/>
      </top>
      <bottom style="thin">
        <color theme="0"/>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style="medium">
        <color theme="0" tint="-0.249977111117893"/>
      </right>
      <top/>
      <bottom/>
      <diagonal/>
    </border>
  </borders>
  <cellStyleXfs count="10">
    <xf numFmtId="0" fontId="0" fillId="0" borderId="0">
      <alignment wrapText="1"/>
    </xf>
    <xf numFmtId="0" fontId="11" fillId="5" borderId="0">
      <alignment horizontal="center" vertical="center"/>
    </xf>
    <xf numFmtId="0" fontId="6" fillId="3" borderId="0">
      <alignment horizontal="center" vertical="center"/>
    </xf>
    <xf numFmtId="0" fontId="7" fillId="0" borderId="0">
      <alignment horizontal="right" vertical="center"/>
    </xf>
    <xf numFmtId="0" fontId="10" fillId="0" borderId="0">
      <alignment horizontal="right"/>
    </xf>
    <xf numFmtId="0" fontId="9" fillId="0" borderId="0">
      <alignment horizontal="left"/>
    </xf>
    <xf numFmtId="43" fontId="17" fillId="0" borderId="0"/>
    <xf numFmtId="0" fontId="39" fillId="0" borderId="0"/>
    <xf numFmtId="43" fontId="39" fillId="0" borderId="0"/>
    <xf numFmtId="9" fontId="39" fillId="0" borderId="0"/>
  </cellStyleXfs>
  <cellXfs count="197">
    <xf numFmtId="0" fontId="0" fillId="0" borderId="0" xfId="0">
      <alignment wrapText="1"/>
    </xf>
    <xf numFmtId="0" fontId="1" fillId="0" borderId="0" xfId="0" applyFont="1">
      <alignment wrapText="1"/>
    </xf>
    <xf numFmtId="0" fontId="2" fillId="0" borderId="0" xfId="0" applyFont="1">
      <alignment wrapText="1"/>
    </xf>
    <xf numFmtId="0" fontId="2" fillId="0" borderId="0" xfId="0" applyFont="1" applyAlignment="1">
      <alignment vertical="top"/>
    </xf>
    <xf numFmtId="0" fontId="2" fillId="2" borderId="0" xfId="0" applyFont="1" applyFill="1" applyAlignment="1">
      <alignment vertical="center" wrapText="1"/>
    </xf>
    <xf numFmtId="0" fontId="4" fillId="0" borderId="0" xfId="0" applyFont="1" applyAlignment="1">
      <alignment horizontal="center"/>
    </xf>
    <xf numFmtId="0" fontId="5" fillId="0" borderId="0" xfId="0" applyFont="1" applyAlignment="1">
      <alignment vertical="center"/>
    </xf>
    <xf numFmtId="0" fontId="1" fillId="0" borderId="0" xfId="0" applyFont="1" applyAlignment="1">
      <alignment vertical="top"/>
    </xf>
    <xf numFmtId="0" fontId="14" fillId="0" borderId="0" xfId="0" applyFont="1" applyAlignment="1">
      <alignment vertical="center" wrapText="1"/>
    </xf>
    <xf numFmtId="0" fontId="15" fillId="0" borderId="0" xfId="0" applyFont="1" applyAlignment="1"/>
    <xf numFmtId="0" fontId="16" fillId="0" borderId="0" xfId="0" applyFont="1" applyAlignment="1"/>
    <xf numFmtId="0" fontId="14" fillId="0" borderId="0" xfId="0" applyFont="1">
      <alignment wrapText="1"/>
    </xf>
    <xf numFmtId="0" fontId="14" fillId="0" borderId="0" xfId="0" applyFont="1" applyAlignment="1">
      <alignment vertical="center"/>
    </xf>
    <xf numFmtId="9" fontId="2" fillId="0" borderId="0" xfId="0" applyNumberFormat="1" applyFont="1">
      <alignment wrapText="1"/>
    </xf>
    <xf numFmtId="0" fontId="12" fillId="2" borderId="0" xfId="0" applyFont="1" applyFill="1">
      <alignment wrapText="1"/>
    </xf>
    <xf numFmtId="0" fontId="19" fillId="0" borderId="0" xfId="0" applyFont="1" applyAlignment="1"/>
    <xf numFmtId="0" fontId="18" fillId="2" borderId="0" xfId="0" applyFont="1" applyFill="1" applyAlignment="1">
      <alignment horizontal="right" vertical="center" wrapText="1"/>
    </xf>
    <xf numFmtId="0" fontId="3" fillId="2" borderId="0" xfId="0" applyFont="1" applyFill="1" applyAlignment="1">
      <alignment horizontal="left" vertical="center" wrapText="1"/>
    </xf>
    <xf numFmtId="0" fontId="6" fillId="5" borderId="0" xfId="1" applyFont="1">
      <alignment horizontal="center" vertical="center"/>
    </xf>
    <xf numFmtId="0" fontId="2" fillId="4" borderId="0" xfId="0" applyFont="1" applyFill="1" applyAlignment="1">
      <alignment horizontal="center" vertical="center"/>
    </xf>
    <xf numFmtId="0" fontId="1" fillId="0" borderId="1" xfId="0" applyFont="1" applyBorder="1" applyAlignment="1">
      <alignment vertical="top"/>
    </xf>
    <xf numFmtId="0" fontId="8" fillId="0" borderId="1" xfId="3" applyFont="1" applyBorder="1" applyAlignment="1">
      <alignment vertical="top"/>
    </xf>
    <xf numFmtId="0" fontId="1" fillId="0" borderId="2" xfId="0" applyFont="1" applyBorder="1" applyAlignment="1">
      <alignment vertical="top" wrapText="1"/>
    </xf>
    <xf numFmtId="0" fontId="24" fillId="5" borderId="0" xfId="1" applyFont="1" applyAlignment="1">
      <alignment horizontal="center" vertical="center" wrapText="1"/>
    </xf>
    <xf numFmtId="0" fontId="20" fillId="0" borderId="0" xfId="5" applyFont="1" applyAlignment="1"/>
    <xf numFmtId="0" fontId="22" fillId="0" borderId="0" xfId="0" applyFont="1" applyAlignment="1">
      <alignment vertical="top"/>
    </xf>
    <xf numFmtId="0" fontId="22" fillId="0" borderId="2" xfId="0" applyFont="1" applyBorder="1" applyAlignment="1">
      <alignment vertical="top"/>
    </xf>
    <xf numFmtId="0" fontId="27" fillId="0" borderId="0" xfId="0" applyFont="1">
      <alignment wrapText="1"/>
    </xf>
    <xf numFmtId="0" fontId="9" fillId="0" borderId="0" xfId="4" applyFont="1">
      <alignment horizontal="right"/>
    </xf>
    <xf numFmtId="0" fontId="28" fillId="3" borderId="12" xfId="0" applyFont="1" applyFill="1" applyBorder="1" applyAlignment="1">
      <alignment horizontal="center" vertical="center" wrapText="1"/>
    </xf>
    <xf numFmtId="0" fontId="28" fillId="0" borderId="3" xfId="0" applyFont="1" applyBorder="1" applyAlignment="1">
      <alignment horizontal="center" vertical="center" wrapText="1"/>
    </xf>
    <xf numFmtId="0" fontId="31" fillId="0" borderId="0" xfId="0" applyFont="1" applyAlignment="1"/>
    <xf numFmtId="0" fontId="29" fillId="0" borderId="0" xfId="0" applyFont="1" applyAlignment="1">
      <alignment horizontal="left" vertical="center" wrapText="1"/>
    </xf>
    <xf numFmtId="0" fontId="29" fillId="0" borderId="0" xfId="0" applyFont="1" applyAlignment="1">
      <alignment horizontal="right" vertical="center" wrapText="1"/>
    </xf>
    <xf numFmtId="3" fontId="30" fillId="7" borderId="3" xfId="0" applyNumberFormat="1" applyFont="1" applyFill="1" applyBorder="1" applyAlignment="1">
      <alignment horizontal="right" vertical="center" wrapText="1"/>
    </xf>
    <xf numFmtId="2" fontId="32" fillId="0" borderId="0" xfId="0" applyNumberFormat="1" applyFont="1" applyAlignment="1"/>
    <xf numFmtId="0" fontId="32" fillId="0" borderId="0" xfId="0" applyFont="1" applyAlignment="1"/>
    <xf numFmtId="0" fontId="33" fillId="0" borderId="0" xfId="4" applyFont="1">
      <alignment horizontal="right"/>
    </xf>
    <xf numFmtId="3" fontId="34" fillId="6" borderId="3" xfId="0" applyNumberFormat="1" applyFont="1" applyFill="1" applyBorder="1" applyAlignment="1">
      <alignment horizontal="right" vertical="center" indent="1"/>
    </xf>
    <xf numFmtId="3" fontId="34" fillId="7" borderId="3" xfId="0" applyNumberFormat="1" applyFont="1" applyFill="1" applyBorder="1" applyAlignment="1">
      <alignment horizontal="right" vertical="center" indent="1"/>
    </xf>
    <xf numFmtId="0" fontId="29" fillId="0" borderId="0" xfId="0" applyFont="1">
      <alignment wrapText="1"/>
    </xf>
    <xf numFmtId="0" fontId="34" fillId="2" borderId="0" xfId="0" applyFont="1" applyFill="1" applyAlignment="1">
      <alignment horizontal="right" vertical="center" wrapText="1"/>
    </xf>
    <xf numFmtId="0" fontId="32" fillId="2" borderId="0" xfId="0" applyFont="1" applyFill="1" applyAlignment="1">
      <alignment horizontal="left" vertical="center" wrapText="1"/>
    </xf>
    <xf numFmtId="0" fontId="35" fillId="0" borderId="0" xfId="0" applyFont="1" applyAlignment="1">
      <alignment horizontal="right"/>
    </xf>
    <xf numFmtId="164" fontId="23" fillId="0" borderId="0" xfId="0" applyNumberFormat="1" applyFont="1" applyAlignment="1">
      <alignment horizontal="left"/>
    </xf>
    <xf numFmtId="0" fontId="23" fillId="0" borderId="0" xfId="0" applyFont="1" applyAlignment="1">
      <alignment horizontal="left"/>
    </xf>
    <xf numFmtId="0" fontId="27" fillId="0" borderId="0" xfId="0" applyFont="1" applyAlignment="1"/>
    <xf numFmtId="0" fontId="23" fillId="0" borderId="0" xfId="0" applyFont="1" applyAlignment="1">
      <alignment horizontal="right"/>
    </xf>
    <xf numFmtId="0" fontId="27" fillId="0" borderId="0" xfId="0" applyFont="1" applyAlignment="1">
      <alignment horizontal="left"/>
    </xf>
    <xf numFmtId="0" fontId="9" fillId="0" borderId="0" xfId="4" applyFont="1" applyAlignment="1">
      <alignment horizontal="left"/>
    </xf>
    <xf numFmtId="0" fontId="9" fillId="0" borderId="0" xfId="4" applyFont="1" applyAlignment="1">
      <alignment horizontal="left" vertical="center"/>
    </xf>
    <xf numFmtId="0" fontId="9" fillId="0" borderId="2" xfId="4" applyFont="1" applyBorder="1" applyAlignment="1">
      <alignment horizontal="left" vertical="top"/>
    </xf>
    <xf numFmtId="0" fontId="38" fillId="0" borderId="0" xfId="0" applyFont="1" applyAlignment="1"/>
    <xf numFmtId="0" fontId="34" fillId="0" borderId="0" xfId="0" applyFont="1">
      <alignment wrapText="1"/>
    </xf>
    <xf numFmtId="0" fontId="34" fillId="0" borderId="0" xfId="0" applyFont="1" applyAlignment="1"/>
    <xf numFmtId="165" fontId="39" fillId="0" borderId="0" xfId="7" applyNumberFormat="1"/>
    <xf numFmtId="0" fontId="39" fillId="0" borderId="0" xfId="7"/>
    <xf numFmtId="41" fontId="41" fillId="9" borderId="16" xfId="7" applyNumberFormat="1" applyFont="1" applyFill="1" applyBorder="1" applyAlignment="1">
      <alignment horizontal="center" vertical="center" wrapText="1"/>
    </xf>
    <xf numFmtId="166" fontId="42" fillId="0" borderId="17" xfId="7" applyNumberFormat="1" applyFont="1" applyBorder="1"/>
    <xf numFmtId="167" fontId="42" fillId="0" borderId="18" xfId="8" applyNumberFormat="1" applyFont="1" applyBorder="1"/>
    <xf numFmtId="10" fontId="43" fillId="0" borderId="0" xfId="7" applyNumberFormat="1" applyFont="1"/>
    <xf numFmtId="41" fontId="41" fillId="10" borderId="19" xfId="7" applyNumberFormat="1" applyFont="1" applyFill="1" applyBorder="1" applyAlignment="1">
      <alignment horizontal="right" vertical="center" wrapText="1"/>
    </xf>
    <xf numFmtId="0" fontId="26" fillId="10" borderId="20" xfId="7" applyFont="1" applyFill="1" applyBorder="1"/>
    <xf numFmtId="165" fontId="44" fillId="11" borderId="21" xfId="7" applyNumberFormat="1" applyFont="1" applyFill="1" applyBorder="1" applyAlignment="1">
      <alignment horizontal="center" vertical="center" wrapText="1"/>
    </xf>
    <xf numFmtId="0" fontId="44" fillId="11" borderId="21" xfId="7" applyFont="1" applyFill="1" applyBorder="1" applyAlignment="1">
      <alignment horizontal="center" vertical="center" wrapText="1"/>
    </xf>
    <xf numFmtId="0" fontId="44" fillId="9" borderId="21" xfId="7" applyFont="1" applyFill="1" applyBorder="1" applyAlignment="1">
      <alignment horizontal="center" vertical="center" wrapText="1"/>
    </xf>
    <xf numFmtId="41" fontId="44" fillId="9" borderId="21" xfId="7" applyNumberFormat="1" applyFont="1" applyFill="1" applyBorder="1" applyAlignment="1">
      <alignment horizontal="center" vertical="center" wrapText="1"/>
    </xf>
    <xf numFmtId="41" fontId="44" fillId="9" borderId="22" xfId="7" applyNumberFormat="1" applyFont="1" applyFill="1" applyBorder="1" applyAlignment="1">
      <alignment horizontal="center" vertical="center" wrapText="1"/>
    </xf>
    <xf numFmtId="0" fontId="45" fillId="0" borderId="0" xfId="7" applyFont="1"/>
    <xf numFmtId="165" fontId="46" fillId="0" borderId="0" xfId="7" applyNumberFormat="1" applyFont="1"/>
    <xf numFmtId="0" fontId="46" fillId="0" borderId="0" xfId="7" applyFont="1" applyAlignment="1">
      <alignment horizontal="center"/>
    </xf>
    <xf numFmtId="0" fontId="46" fillId="0" borderId="0" xfId="7" applyFont="1"/>
    <xf numFmtId="41" fontId="48" fillId="12" borderId="22" xfId="7" applyNumberFormat="1" applyFont="1" applyFill="1" applyBorder="1" applyAlignment="1">
      <alignment horizontal="center" vertical="center" wrapText="1"/>
    </xf>
    <xf numFmtId="0" fontId="49" fillId="0" borderId="7" xfId="0" applyFont="1" applyBorder="1" applyAlignment="1">
      <alignment horizontal="center" vertical="center" wrapText="1"/>
    </xf>
    <xf numFmtId="167" fontId="50" fillId="6" borderId="4" xfId="6" applyNumberFormat="1" applyFont="1" applyFill="1" applyBorder="1" applyAlignment="1">
      <alignment horizontal="center" vertical="center" wrapText="1"/>
    </xf>
    <xf numFmtId="0" fontId="49" fillId="7" borderId="7" xfId="0" applyFont="1" applyFill="1" applyBorder="1" applyAlignment="1">
      <alignment horizontal="center" vertical="center" wrapText="1"/>
    </xf>
    <xf numFmtId="0" fontId="49" fillId="0" borderId="9" xfId="0" applyFont="1" applyBorder="1" applyAlignment="1">
      <alignment horizontal="center" vertical="center" wrapText="1"/>
    </xf>
    <xf numFmtId="167" fontId="49" fillId="0" borderId="9" xfId="6" applyNumberFormat="1" applyFont="1" applyBorder="1" applyAlignment="1">
      <alignment horizontal="center" vertical="center" wrapText="1"/>
    </xf>
    <xf numFmtId="167" fontId="50" fillId="0" borderId="4" xfId="6" applyNumberFormat="1" applyFont="1" applyBorder="1" applyAlignment="1">
      <alignment horizontal="center" vertical="center" wrapText="1"/>
    </xf>
    <xf numFmtId="0" fontId="49" fillId="0" borderId="9" xfId="0" applyFont="1" applyBorder="1" applyAlignment="1">
      <alignment horizontal="left" vertical="center" wrapText="1"/>
    </xf>
    <xf numFmtId="0" fontId="49" fillId="0" borderId="10" xfId="0" applyFont="1" applyBorder="1" applyAlignment="1">
      <alignment horizontal="center" vertical="center" wrapText="1"/>
    </xf>
    <xf numFmtId="0" fontId="49" fillId="0" borderId="10" xfId="0" applyFont="1" applyBorder="1" applyAlignment="1">
      <alignment horizontal="left" vertical="center" wrapText="1"/>
    </xf>
    <xf numFmtId="167" fontId="49" fillId="0" borderId="10" xfId="6" applyNumberFormat="1" applyFont="1" applyBorder="1" applyAlignment="1">
      <alignment horizontal="center" vertical="center" wrapText="1"/>
    </xf>
    <xf numFmtId="167" fontId="50" fillId="0" borderId="6" xfId="6" applyNumberFormat="1" applyFont="1" applyBorder="1" applyAlignment="1">
      <alignment horizontal="center" vertical="center" wrapText="1"/>
    </xf>
    <xf numFmtId="167" fontId="46" fillId="0" borderId="0" xfId="6" applyNumberFormat="1" applyFont="1"/>
    <xf numFmtId="167" fontId="47" fillId="12" borderId="0" xfId="6" applyNumberFormat="1" applyFont="1" applyFill="1"/>
    <xf numFmtId="41" fontId="46" fillId="0" borderId="0" xfId="6" applyNumberFormat="1" applyFont="1"/>
    <xf numFmtId="165" fontId="52" fillId="0" borderId="0" xfId="7" applyNumberFormat="1" applyFont="1"/>
    <xf numFmtId="0" fontId="52" fillId="0" borderId="0" xfId="7" applyFont="1" applyAlignment="1">
      <alignment horizontal="center"/>
    </xf>
    <xf numFmtId="0" fontId="52" fillId="0" borderId="0" xfId="7" applyFont="1"/>
    <xf numFmtId="167" fontId="52" fillId="0" borderId="0" xfId="6" applyNumberFormat="1" applyFont="1"/>
    <xf numFmtId="167" fontId="53" fillId="12" borderId="0" xfId="6" applyNumberFormat="1" applyFont="1" applyFill="1"/>
    <xf numFmtId="41" fontId="52" fillId="0" borderId="0" xfId="6" applyNumberFormat="1" applyFont="1"/>
    <xf numFmtId="165" fontId="54" fillId="0" borderId="0" xfId="7" applyNumberFormat="1" applyFont="1"/>
    <xf numFmtId="0" fontId="54" fillId="0" borderId="0" xfId="7" applyFont="1" applyAlignment="1">
      <alignment horizontal="center"/>
    </xf>
    <xf numFmtId="0" fontId="54" fillId="0" borderId="0" xfId="7" applyFont="1"/>
    <xf numFmtId="167" fontId="54" fillId="0" borderId="0" xfId="6" applyNumberFormat="1" applyFont="1"/>
    <xf numFmtId="167" fontId="55" fillId="12" borderId="0" xfId="6" applyNumberFormat="1" applyFont="1" applyFill="1"/>
    <xf numFmtId="41" fontId="54" fillId="0" borderId="0" xfId="6" applyNumberFormat="1" applyFont="1"/>
    <xf numFmtId="165" fontId="18" fillId="4" borderId="0" xfId="0" applyNumberFormat="1" applyFont="1" applyFill="1" applyAlignment="1">
      <alignment horizontal="center" vertical="center"/>
    </xf>
    <xf numFmtId="0" fontId="18" fillId="4" borderId="0" xfId="0" applyFont="1" applyFill="1" applyAlignment="1">
      <alignment horizontal="center" vertical="center"/>
    </xf>
    <xf numFmtId="165" fontId="56" fillId="0" borderId="0" xfId="7" applyNumberFormat="1" applyFont="1"/>
    <xf numFmtId="0" fontId="56" fillId="0" borderId="0" xfId="7" applyFont="1" applyAlignment="1">
      <alignment horizontal="center"/>
    </xf>
    <xf numFmtId="0" fontId="56" fillId="0" borderId="0" xfId="7" applyFont="1"/>
    <xf numFmtId="167" fontId="56" fillId="0" borderId="0" xfId="6" applyNumberFormat="1" applyFont="1"/>
    <xf numFmtId="167" fontId="57" fillId="12" borderId="0" xfId="6" applyNumberFormat="1" applyFont="1" applyFill="1"/>
    <xf numFmtId="41" fontId="56" fillId="0" borderId="0" xfId="6" applyNumberFormat="1" applyFont="1"/>
    <xf numFmtId="0" fontId="58" fillId="0" borderId="7" xfId="0" applyFont="1" applyBorder="1" applyAlignment="1">
      <alignment horizontal="center" vertical="center" wrapText="1"/>
    </xf>
    <xf numFmtId="167" fontId="59" fillId="6" borderId="4" xfId="6" applyNumberFormat="1" applyFont="1" applyFill="1" applyBorder="1" applyAlignment="1">
      <alignment horizontal="center" vertical="center" wrapText="1"/>
    </xf>
    <xf numFmtId="0" fontId="58" fillId="7" borderId="7" xfId="0" applyFont="1" applyFill="1" applyBorder="1" applyAlignment="1">
      <alignment horizontal="center" vertical="center" wrapText="1"/>
    </xf>
    <xf numFmtId="0" fontId="58" fillId="0" borderId="9" xfId="0" applyFont="1" applyBorder="1" applyAlignment="1">
      <alignment horizontal="center" vertical="center" wrapText="1"/>
    </xf>
    <xf numFmtId="167" fontId="58" fillId="0" borderId="9" xfId="6" applyNumberFormat="1" applyFont="1" applyBorder="1" applyAlignment="1">
      <alignment horizontal="center" vertical="center" wrapText="1"/>
    </xf>
    <xf numFmtId="167" fontId="59" fillId="0" borderId="4" xfId="6" applyNumberFormat="1" applyFont="1" applyBorder="1" applyAlignment="1">
      <alignment horizontal="center" vertical="center" wrapText="1"/>
    </xf>
    <xf numFmtId="0" fontId="58" fillId="0" borderId="9" xfId="0" applyFont="1" applyBorder="1" applyAlignment="1">
      <alignment horizontal="left" vertical="center" wrapText="1"/>
    </xf>
    <xf numFmtId="167" fontId="58" fillId="0" borderId="11" xfId="6" applyNumberFormat="1" applyFont="1" applyBorder="1" applyAlignment="1">
      <alignment horizontal="center" vertical="center" wrapText="1"/>
    </xf>
    <xf numFmtId="0" fontId="23" fillId="0" borderId="0" xfId="0" applyFont="1" applyAlignment="1"/>
    <xf numFmtId="165" fontId="60" fillId="0" borderId="0" xfId="7" applyNumberFormat="1" applyFont="1"/>
    <xf numFmtId="0" fontId="60" fillId="0" borderId="0" xfId="7" applyFont="1" applyAlignment="1">
      <alignment horizontal="center"/>
    </xf>
    <xf numFmtId="0" fontId="60" fillId="0" borderId="0" xfId="7" applyFont="1"/>
    <xf numFmtId="167" fontId="60" fillId="0" borderId="0" xfId="6" applyNumberFormat="1" applyFont="1"/>
    <xf numFmtId="167" fontId="61" fillId="12" borderId="0" xfId="6" applyNumberFormat="1" applyFont="1" applyFill="1"/>
    <xf numFmtId="41" fontId="60" fillId="0" borderId="0" xfId="6" applyNumberFormat="1" applyFont="1"/>
    <xf numFmtId="165" fontId="62" fillId="0" borderId="0" xfId="7" applyNumberFormat="1" applyFont="1"/>
    <xf numFmtId="0" fontId="62" fillId="0" borderId="0" xfId="7" applyFont="1" applyAlignment="1">
      <alignment horizontal="center"/>
    </xf>
    <xf numFmtId="0" fontId="62" fillId="0" borderId="0" xfId="7" applyFont="1"/>
    <xf numFmtId="167" fontId="62" fillId="0" borderId="0" xfId="6" applyNumberFormat="1" applyFont="1"/>
    <xf numFmtId="167" fontId="63" fillId="12" borderId="0" xfId="6" applyNumberFormat="1" applyFont="1" applyFill="1"/>
    <xf numFmtId="41" fontId="62" fillId="0" borderId="0" xfId="6" applyNumberFormat="1" applyFont="1"/>
    <xf numFmtId="0" fontId="64" fillId="0" borderId="2" xfId="0" applyFont="1" applyBorder="1" applyAlignment="1">
      <alignment vertical="top" wrapText="1"/>
    </xf>
    <xf numFmtId="0" fontId="23" fillId="0" borderId="0" xfId="0" applyFont="1" applyAlignment="1">
      <alignment horizontal="left" vertical="center"/>
    </xf>
    <xf numFmtId="165" fontId="65" fillId="0" borderId="0" xfId="7" applyNumberFormat="1" applyFont="1"/>
    <xf numFmtId="0" fontId="65" fillId="0" borderId="0" xfId="7" applyFont="1" applyAlignment="1">
      <alignment horizontal="center"/>
    </xf>
    <xf numFmtId="0" fontId="65" fillId="0" borderId="0" xfId="7" applyFont="1"/>
    <xf numFmtId="167" fontId="65" fillId="0" borderId="0" xfId="6" applyNumberFormat="1" applyFont="1"/>
    <xf numFmtId="167" fontId="66" fillId="12" borderId="0" xfId="6" applyNumberFormat="1" applyFont="1" applyFill="1"/>
    <xf numFmtId="41" fontId="65" fillId="0" borderId="0" xfId="6" applyNumberFormat="1" applyFont="1"/>
    <xf numFmtId="0" fontId="67" fillId="0" borderId="0" xfId="0" applyFont="1" applyAlignment="1">
      <alignment horizontal="center" vertical="center" wrapText="1"/>
    </xf>
    <xf numFmtId="0" fontId="67" fillId="0" borderId="7" xfId="0" applyFont="1" applyBorder="1" applyAlignment="1">
      <alignment horizontal="center" vertical="center" wrapText="1"/>
    </xf>
    <xf numFmtId="0" fontId="67" fillId="0" borderId="8" xfId="0" quotePrefix="1" applyFont="1" applyBorder="1" applyAlignment="1">
      <alignment horizontal="center" vertical="center" wrapText="1"/>
    </xf>
    <xf numFmtId="3" fontId="67" fillId="0" borderId="8" xfId="0" applyNumberFormat="1" applyFont="1" applyBorder="1" applyAlignment="1">
      <alignment horizontal="center" vertical="center" wrapText="1"/>
    </xf>
    <xf numFmtId="167" fontId="67" fillId="0" borderId="8" xfId="6" applyNumberFormat="1" applyFont="1" applyBorder="1" applyAlignment="1">
      <alignment horizontal="center" vertical="center" wrapText="1"/>
    </xf>
    <xf numFmtId="167" fontId="68" fillId="6" borderId="4" xfId="6" applyNumberFormat="1" applyFont="1" applyFill="1" applyBorder="1" applyAlignment="1">
      <alignment horizontal="center" vertical="center" wrapText="1"/>
    </xf>
    <xf numFmtId="0" fontId="67" fillId="7" borderId="7" xfId="0" applyFont="1" applyFill="1" applyBorder="1" applyAlignment="1">
      <alignment horizontal="center" vertical="center" wrapText="1"/>
    </xf>
    <xf numFmtId="0" fontId="67" fillId="0" borderId="9" xfId="0" applyFont="1" applyBorder="1" applyAlignment="1">
      <alignment horizontal="center" vertical="center" wrapText="1"/>
    </xf>
    <xf numFmtId="167" fontId="67" fillId="0" borderId="9" xfId="6" applyNumberFormat="1" applyFont="1" applyBorder="1" applyAlignment="1">
      <alignment horizontal="center" vertical="center" wrapText="1"/>
    </xf>
    <xf numFmtId="167" fontId="68" fillId="0" borderId="9" xfId="6" applyNumberFormat="1" applyFont="1" applyBorder="1" applyAlignment="1">
      <alignment horizontal="center" vertical="center" wrapText="1"/>
    </xf>
    <xf numFmtId="167" fontId="68" fillId="0" borderId="4" xfId="6" applyNumberFormat="1" applyFont="1" applyBorder="1" applyAlignment="1">
      <alignment horizontal="center" vertical="center" wrapText="1"/>
    </xf>
    <xf numFmtId="3" fontId="67" fillId="0" borderId="9" xfId="0" applyNumberFormat="1" applyFont="1" applyBorder="1" applyAlignment="1">
      <alignment horizontal="center" vertical="center" wrapText="1"/>
    </xf>
    <xf numFmtId="165" fontId="69" fillId="0" borderId="0" xfId="7" applyNumberFormat="1" applyFont="1"/>
    <xf numFmtId="0" fontId="69" fillId="0" borderId="0" xfId="7" applyFont="1" applyAlignment="1">
      <alignment horizontal="center"/>
    </xf>
    <xf numFmtId="0" fontId="69" fillId="0" borderId="0" xfId="7" applyFont="1"/>
    <xf numFmtId="167" fontId="69" fillId="0" borderId="0" xfId="6" applyNumberFormat="1" applyFont="1"/>
    <xf numFmtId="167" fontId="70" fillId="12" borderId="0" xfId="6" applyNumberFormat="1" applyFont="1" applyFill="1"/>
    <xf numFmtId="41" fontId="69" fillId="0" borderId="0" xfId="6" applyNumberFormat="1" applyFont="1"/>
    <xf numFmtId="165" fontId="71" fillId="0" borderId="0" xfId="7" applyNumberFormat="1" applyFont="1"/>
    <xf numFmtId="0" fontId="71" fillId="0" borderId="0" xfId="7" applyFont="1" applyAlignment="1">
      <alignment horizontal="center"/>
    </xf>
    <xf numFmtId="0" fontId="71" fillId="0" borderId="0" xfId="7" applyFont="1"/>
    <xf numFmtId="167" fontId="71" fillId="0" borderId="0" xfId="6" applyNumberFormat="1" applyFont="1"/>
    <xf numFmtId="167" fontId="72" fillId="12" borderId="0" xfId="6" applyNumberFormat="1" applyFont="1" applyFill="1"/>
    <xf numFmtId="41" fontId="71" fillId="0" borderId="0" xfId="6" applyNumberFormat="1" applyFont="1"/>
    <xf numFmtId="0" fontId="67" fillId="0" borderId="0" xfId="0" applyFont="1" applyAlignment="1">
      <alignment horizontal="left" vertical="center" wrapText="1"/>
    </xf>
    <xf numFmtId="0" fontId="67" fillId="0" borderId="9" xfId="0" applyFont="1" applyBorder="1" applyAlignment="1">
      <alignment horizontal="left" vertical="center" wrapText="1"/>
    </xf>
    <xf numFmtId="167" fontId="67" fillId="0" borderId="0" xfId="0" applyNumberFormat="1" applyFont="1" applyAlignment="1">
      <alignment horizontal="center" vertical="center" wrapText="1"/>
    </xf>
    <xf numFmtId="0" fontId="12" fillId="2" borderId="0" xfId="0" applyFont="1" applyFill="1" applyAlignment="1">
      <alignment horizontal="right" wrapText="1"/>
    </xf>
    <xf numFmtId="0" fontId="1" fillId="0" borderId="0" xfId="0" applyFont="1">
      <alignment wrapText="1"/>
    </xf>
    <xf numFmtId="0" fontId="21" fillId="0" borderId="0" xfId="4" applyFont="1" applyAlignment="1">
      <alignment horizontal="center" vertical="top"/>
    </xf>
    <xf numFmtId="0" fontId="33" fillId="0" borderId="0" xfId="4" applyFont="1" applyAlignment="1">
      <alignment horizontal="center" vertical="top" wrapText="1"/>
    </xf>
    <xf numFmtId="0" fontId="2" fillId="0" borderId="0" xfId="0" applyFont="1">
      <alignment wrapText="1"/>
    </xf>
    <xf numFmtId="0" fontId="32" fillId="2" borderId="2" xfId="0" applyFont="1" applyFill="1" applyBorder="1" applyAlignment="1">
      <alignment horizontal="left" vertical="center" wrapText="1"/>
    </xf>
    <xf numFmtId="0" fontId="0" fillId="0" borderId="2" xfId="0" applyBorder="1" applyAlignment="1"/>
    <xf numFmtId="0" fontId="38" fillId="0" borderId="0" xfId="0" applyFont="1" applyAlignment="1">
      <alignment horizontal="left" vertical="center"/>
    </xf>
    <xf numFmtId="0" fontId="34" fillId="2" borderId="2" xfId="0" applyFont="1" applyFill="1" applyBorder="1" applyAlignment="1">
      <alignment horizontal="center" vertical="center"/>
    </xf>
    <xf numFmtId="0" fontId="13" fillId="0" borderId="1" xfId="0" applyFont="1" applyBorder="1" applyAlignment="1">
      <alignment horizontal="center" vertical="top"/>
    </xf>
    <xf numFmtId="0" fontId="0" fillId="0" borderId="1" xfId="0" applyBorder="1" applyAlignment="1"/>
    <xf numFmtId="0" fontId="36" fillId="0" borderId="14" xfId="5" applyFont="1" applyBorder="1" applyAlignment="1">
      <alignment horizontal="right"/>
    </xf>
    <xf numFmtId="0" fontId="0" fillId="0" borderId="14" xfId="0" applyBorder="1" applyAlignment="1"/>
    <xf numFmtId="0" fontId="37" fillId="0" borderId="0" xfId="0" applyFont="1" applyAlignment="1">
      <alignment horizontal="right" vertical="top"/>
    </xf>
    <xf numFmtId="168" fontId="2" fillId="2" borderId="5" xfId="0" applyNumberFormat="1" applyFont="1" applyFill="1" applyBorder="1" applyAlignment="1"/>
    <xf numFmtId="0" fontId="0" fillId="0" borderId="5" xfId="0" applyBorder="1" applyAlignment="1"/>
    <xf numFmtId="0" fontId="25" fillId="0" borderId="1" xfId="3" applyFont="1" applyBorder="1" applyAlignment="1">
      <alignment horizontal="right"/>
    </xf>
    <xf numFmtId="169" fontId="33" fillId="0" borderId="4" xfId="4" applyNumberFormat="1" applyFont="1" applyBorder="1">
      <alignment horizontal="right"/>
    </xf>
    <xf numFmtId="0" fontId="0" fillId="0" borderId="4" xfId="0" applyBorder="1" applyAlignment="1"/>
    <xf numFmtId="0" fontId="23" fillId="0" borderId="0" xfId="0" applyFont="1" applyAlignment="1"/>
    <xf numFmtId="0" fontId="27" fillId="0" borderId="13" xfId="0" applyFont="1" applyBorder="1" applyAlignment="1">
      <alignment horizontal="left"/>
    </xf>
    <xf numFmtId="0" fontId="0" fillId="0" borderId="13" xfId="0" applyBorder="1" applyAlignment="1"/>
    <xf numFmtId="0" fontId="23" fillId="0" borderId="0" xfId="0" applyFont="1" applyAlignment="1">
      <alignment horizontal="left"/>
    </xf>
    <xf numFmtId="0" fontId="40" fillId="8" borderId="15" xfId="7" applyFont="1" applyFill="1" applyBorder="1" applyAlignment="1">
      <alignment horizontal="center" vertical="center"/>
    </xf>
    <xf numFmtId="0" fontId="0" fillId="0" borderId="15" xfId="0" applyBorder="1" applyAlignment="1"/>
    <xf numFmtId="0" fontId="67" fillId="0" borderId="8" xfId="0" applyFont="1" applyBorder="1" applyAlignment="1">
      <alignment horizontal="center" vertical="center" wrapText="1"/>
    </xf>
    <xf numFmtId="0" fontId="67" fillId="0" borderId="23" xfId="0" applyFont="1" applyBorder="1" applyAlignment="1">
      <alignment horizontal="center" vertical="center" wrapText="1"/>
    </xf>
    <xf numFmtId="0" fontId="58" fillId="0" borderId="0" xfId="0" applyFont="1" applyAlignment="1">
      <alignment horizontal="center" vertical="center" wrapText="1"/>
    </xf>
    <xf numFmtId="165" fontId="73" fillId="0" borderId="0" xfId="7" applyNumberFormat="1" applyFont="1"/>
    <xf numFmtId="0" fontId="73" fillId="0" borderId="0" xfId="7" applyFont="1" applyAlignment="1">
      <alignment horizontal="center"/>
    </xf>
    <xf numFmtId="0" fontId="73" fillId="0" borderId="0" xfId="7" applyFont="1"/>
    <xf numFmtId="167" fontId="73" fillId="0" borderId="0" xfId="6" applyNumberFormat="1" applyFont="1" applyFill="1"/>
    <xf numFmtId="167" fontId="74" fillId="12" borderId="0" xfId="6" applyNumberFormat="1" applyFont="1" applyFill="1"/>
    <xf numFmtId="41" fontId="73" fillId="0" borderId="0" xfId="6" applyNumberFormat="1" applyFont="1" applyFill="1"/>
  </cellXfs>
  <cellStyles count="10">
    <cellStyle name="Comma" xfId="6" builtinId="3"/>
    <cellStyle name="Comma 2" xfId="8" xr:uid="{00000000-0005-0000-0000-000008000000}"/>
    <cellStyle name="Normal" xfId="0" builtinId="0"/>
    <cellStyle name="Normal 2" xfId="1" xr:uid="{00000000-0005-0000-0000-000001000000}"/>
    <cellStyle name="Normal 2 2" xfId="2" xr:uid="{00000000-0005-0000-0000-000002000000}"/>
    <cellStyle name="Normal 2 3" xfId="4" xr:uid="{00000000-0005-0000-0000-000004000000}"/>
    <cellStyle name="Normal 2 3 2" xfId="5" xr:uid="{00000000-0005-0000-0000-000005000000}"/>
    <cellStyle name="Normal 3" xfId="3" xr:uid="{00000000-0005-0000-0000-000003000000}"/>
    <cellStyle name="Normal 4" xfId="7" xr:uid="{00000000-0005-0000-0000-000007000000}"/>
    <cellStyle name="Percent 2" xfId="9" xr:uid="{00000000-0005-0000-0000-000009000000}"/>
  </cellStyles>
  <dxfs count="50">
    <dxf>
      <font>
        <strike val="0"/>
        <outline val="0"/>
        <shadow val="0"/>
        <vertAlign val="baseline"/>
        <sz val="11"/>
        <color auto="1"/>
        <name val="Arial"/>
      </font>
      <numFmt numFmtId="33" formatCode="_(* #,##0_);_(* \(#,##0\);_(* &quot;-&quot;_);_(@_)"/>
    </dxf>
    <dxf>
      <font>
        <strike val="0"/>
        <outline val="0"/>
        <shadow val="0"/>
        <vertAlign val="baseline"/>
        <sz val="11"/>
        <color auto="1"/>
        <name val="Arial"/>
      </font>
      <numFmt numFmtId="33" formatCode="_(* #,##0_);_(* \(#,##0\);_(* &quot;-&quot;_);_(@_)"/>
    </dxf>
    <dxf>
      <font>
        <strike val="0"/>
        <outline val="0"/>
        <shadow val="0"/>
        <vertAlign val="baseline"/>
        <sz val="11"/>
        <color auto="1"/>
        <name val="Arial"/>
      </font>
      <numFmt numFmtId="33" formatCode="_(* #,##0_);_(* \(#,##0\);_(* &quot;-&quot;_);_(@_)"/>
    </dxf>
    <dxf>
      <font>
        <strike val="0"/>
        <condense val="0"/>
        <extend val="0"/>
        <outline val="0"/>
        <shadow val="0"/>
        <vertAlign val="baseline"/>
        <sz val="11"/>
        <color theme="3"/>
        <name val="Arial"/>
      </font>
    </dxf>
    <dxf>
      <font>
        <strike val="0"/>
        <outline val="0"/>
        <shadow val="0"/>
        <vertAlign val="baseline"/>
        <sz val="11"/>
        <color auto="1"/>
        <name val="Arial"/>
      </font>
      <numFmt numFmtId="33" formatCode="_(* #,##0_);_(* \(#,##0\);_(* &quot;-&quot;_);_(@_)"/>
    </dxf>
    <dxf>
      <font>
        <strike val="0"/>
        <condense val="0"/>
        <extend val="0"/>
        <outline val="0"/>
        <shadow val="0"/>
        <vertAlign val="baseline"/>
        <sz val="11"/>
        <color theme="3"/>
        <name val="Arial"/>
      </font>
    </dxf>
    <dxf>
      <font>
        <strike val="0"/>
        <outline val="0"/>
        <shadow val="0"/>
        <vertAlign val="baseline"/>
        <sz val="11"/>
        <color auto="1"/>
        <name val="Arial"/>
      </font>
      <numFmt numFmtId="33" formatCode="_(* #,##0_);_(* \(#,##0\);_(* &quot;-&quot;_);_(@_)"/>
    </dxf>
    <dxf>
      <font>
        <strike val="0"/>
        <condense val="0"/>
        <extend val="0"/>
        <outline val="0"/>
        <shadow val="0"/>
        <vertAlign val="baseline"/>
        <sz val="11"/>
        <color theme="1"/>
        <name val="Arial"/>
      </font>
      <numFmt numFmtId="167" formatCode="_(* #,##0_);_(* \(#,##0\);_(* &quot;-&quot;??_);_(@_)"/>
      <fill>
        <patternFill patternType="solid">
          <fgColor indexed="64"/>
          <bgColor theme="2" tint="-0.89999084444715716"/>
        </patternFill>
      </fill>
    </dxf>
    <dxf>
      <font>
        <strike val="0"/>
        <condense val="0"/>
        <extend val="0"/>
        <outline val="0"/>
        <shadow val="0"/>
        <vertAlign val="baseline"/>
        <sz val="11"/>
        <color theme="3"/>
        <name val="Arial"/>
      </font>
      <numFmt numFmtId="167" formatCode="_(* #,##0_);_(* \(#,##0\);_(* &quot;-&quot;??_);_(@_)"/>
    </dxf>
    <dxf>
      <font>
        <strike val="0"/>
        <outline val="0"/>
        <shadow val="0"/>
        <vertAlign val="baseline"/>
        <sz val="11"/>
        <color auto="1"/>
        <name val="Arial"/>
      </font>
      <numFmt numFmtId="167" formatCode="_(* #,##0_);_(* \(#,##0\);_(* &quot;-&quot;??_);_(@_)"/>
    </dxf>
    <dxf>
      <font>
        <strike val="0"/>
        <condense val="0"/>
        <extend val="0"/>
        <outline val="0"/>
        <shadow val="0"/>
        <vertAlign val="baseline"/>
        <sz val="11"/>
        <color theme="3"/>
        <name val="Arial"/>
      </font>
      <numFmt numFmtId="0" formatCode="General"/>
    </dxf>
    <dxf>
      <font>
        <strike val="0"/>
        <outline val="0"/>
        <shadow val="0"/>
        <vertAlign val="baseline"/>
        <sz val="11"/>
        <color auto="1"/>
        <name val="Arial"/>
      </font>
      <numFmt numFmtId="167" formatCode="_(* #,##0_);_(* \(#,##0\);_(* &quot;-&quot;??_);_(@_)"/>
    </dxf>
    <dxf>
      <font>
        <strike val="0"/>
        <condense val="0"/>
        <extend val="0"/>
        <outline val="0"/>
        <shadow val="0"/>
        <vertAlign val="baseline"/>
        <sz val="11"/>
        <color theme="3"/>
        <name val="Arial"/>
      </font>
      <numFmt numFmtId="0" formatCode="General"/>
    </dxf>
    <dxf>
      <font>
        <strike val="0"/>
        <outline val="0"/>
        <shadow val="0"/>
        <vertAlign val="baseline"/>
        <sz val="11"/>
        <color auto="1"/>
        <name val="Arial"/>
      </font>
      <numFmt numFmtId="167" formatCode="_(* #,##0_);_(* \(#,##0\);_(* &quot;-&quot;??_);_(@_)"/>
    </dxf>
    <dxf>
      <font>
        <strike val="0"/>
        <condense val="0"/>
        <extend val="0"/>
        <outline val="0"/>
        <shadow val="0"/>
        <vertAlign val="baseline"/>
        <sz val="11"/>
        <color theme="3"/>
        <name val="Arial"/>
      </font>
      <numFmt numFmtId="0" formatCode="General"/>
    </dxf>
    <dxf>
      <font>
        <strike val="0"/>
        <outline val="0"/>
        <shadow val="0"/>
        <vertAlign val="baseline"/>
        <sz val="11"/>
        <color auto="1"/>
        <name val="Arial"/>
      </font>
      <numFmt numFmtId="167" formatCode="_(* #,##0_);_(* \(#,##0\);_(* &quot;-&quot;??_);_(@_)"/>
    </dxf>
    <dxf>
      <font>
        <strike val="0"/>
        <condense val="0"/>
        <extend val="0"/>
        <outline val="0"/>
        <shadow val="0"/>
        <vertAlign val="baseline"/>
        <sz val="11"/>
        <color theme="3"/>
        <name val="Arial"/>
      </font>
      <numFmt numFmtId="167" formatCode="_(* #,##0_);_(* \(#,##0\);_(* &quot;-&quot;??_);_(@_)"/>
    </dxf>
    <dxf>
      <font>
        <strike val="0"/>
        <outline val="0"/>
        <shadow val="0"/>
        <vertAlign val="baseline"/>
        <sz val="11"/>
        <color auto="1"/>
        <name val="Arial"/>
      </font>
      <numFmt numFmtId="167" formatCode="_(* #,##0_);_(* \(#,##0\);_(* &quot;-&quot;??_);_(@_)"/>
    </dxf>
    <dxf>
      <font>
        <strike val="0"/>
        <condense val="0"/>
        <extend val="0"/>
        <outline val="0"/>
        <shadow val="0"/>
        <vertAlign val="baseline"/>
        <sz val="11"/>
        <color theme="3"/>
        <name val="Arial"/>
      </font>
    </dxf>
    <dxf>
      <font>
        <strike val="0"/>
        <outline val="0"/>
        <shadow val="0"/>
        <vertAlign val="baseline"/>
        <sz val="11"/>
        <color auto="1"/>
        <name val="Arial"/>
      </font>
    </dxf>
    <dxf>
      <font>
        <strike val="0"/>
        <condense val="0"/>
        <extend val="0"/>
        <outline val="0"/>
        <shadow val="0"/>
        <vertAlign val="baseline"/>
        <sz val="11"/>
        <color theme="3"/>
        <name val="Arial"/>
      </font>
      <alignment horizontal="center" vertical="bottom"/>
    </dxf>
    <dxf>
      <font>
        <strike val="0"/>
        <outline val="0"/>
        <shadow val="0"/>
        <vertAlign val="baseline"/>
        <sz val="11"/>
        <color auto="1"/>
        <name val="Arial"/>
      </font>
      <alignment horizontal="center"/>
    </dxf>
    <dxf>
      <font>
        <strike val="0"/>
        <condense val="0"/>
        <extend val="0"/>
        <outline val="0"/>
        <shadow val="0"/>
        <vertAlign val="baseline"/>
        <sz val="11"/>
        <color theme="3"/>
        <name val="Arial"/>
      </font>
    </dxf>
    <dxf>
      <font>
        <strike val="0"/>
        <outline val="0"/>
        <shadow val="0"/>
        <vertAlign val="baseline"/>
        <sz val="11"/>
        <color auto="1"/>
        <name val="Arial"/>
      </font>
      <numFmt numFmtId="165" formatCode="[$-409]d\-mmm\-yy;@"/>
    </dxf>
    <dxf>
      <font>
        <strike val="0"/>
        <outline val="0"/>
        <shadow val="0"/>
        <vertAlign val="baseline"/>
        <color auto="1"/>
      </font>
    </dxf>
    <dxf>
      <border outline="0">
        <top style="thin">
          <color indexed="64"/>
        </top>
      </border>
    </dxf>
    <dxf>
      <font>
        <strike val="0"/>
        <outline val="0"/>
        <shadow val="0"/>
        <vertAlign val="baseline"/>
        <sz val="11"/>
        <color auto="1"/>
        <name val="Arial"/>
      </font>
      <numFmt numFmtId="33" formatCode="_(* #,##0_);_(* \(#,##0\);_(* &quot;-&quot;_);_(@_)"/>
    </dxf>
    <dxf>
      <border>
        <bottom style="thin">
          <color theme="0"/>
        </bottom>
      </border>
    </dxf>
    <dxf>
      <font>
        <b/>
        <strike val="0"/>
        <condense val="0"/>
        <extend val="0"/>
        <outline val="0"/>
        <shadow val="0"/>
        <vertAlign val="baseline"/>
        <sz val="10"/>
        <color theme="0"/>
        <name val="Times New Roman"/>
      </font>
      <numFmt numFmtId="33" formatCode="_(* #,##0_);_(* \(#,##0\);_(* &quot;-&quot;_);_(@_)"/>
      <fill>
        <patternFill patternType="solid">
          <fgColor indexed="64"/>
          <bgColor theme="3"/>
        </patternFill>
      </fill>
      <alignment horizontal="center" vertical="center" wrapText="1"/>
      <border outline="0">
        <left style="thin">
          <color theme="0"/>
        </left>
        <right style="thin">
          <color theme="0"/>
        </right>
        <top/>
        <bottom/>
      </border>
    </dxf>
    <dxf>
      <font>
        <b/>
        <strike val="0"/>
        <outline val="0"/>
        <shadow val="0"/>
        <vertAlign val="baseline"/>
        <sz val="14"/>
        <color auto="1"/>
        <name val="Century Gothic"/>
        <scheme val="minor"/>
      </font>
      <alignment horizontal="right" vertical="center" wrapText="1"/>
    </dxf>
    <dxf>
      <font>
        <strike val="0"/>
        <outline val="0"/>
        <shadow val="0"/>
        <vertAlign val="baseline"/>
        <sz val="14"/>
        <color auto="1"/>
        <name val="Century Gothic"/>
        <scheme val="minor"/>
      </font>
      <alignment horizontal="right" vertical="center" wrapText="1"/>
    </dxf>
    <dxf>
      <font>
        <strike val="0"/>
        <outline val="0"/>
        <shadow val="0"/>
        <vertAlign val="baseline"/>
        <sz val="14"/>
        <color auto="1"/>
        <name val="Century Gothic"/>
        <scheme val="minor"/>
      </font>
      <alignment horizontal="right" vertical="center" wrapText="1"/>
    </dxf>
    <dxf>
      <font>
        <strike val="0"/>
        <outline val="0"/>
        <shadow val="0"/>
        <vertAlign val="baseline"/>
        <sz val="14"/>
        <color auto="1"/>
        <name val="Century Gothic"/>
        <scheme val="minor"/>
      </font>
      <alignment horizontal="left" vertical="center" wrapText="1"/>
    </dxf>
    <dxf>
      <font>
        <strike val="0"/>
        <outline val="0"/>
        <shadow val="0"/>
        <vertAlign val="baseline"/>
        <sz val="14"/>
        <color auto="1"/>
        <name val="Century Gothic"/>
        <scheme val="minor"/>
      </font>
      <alignment horizontal="left" vertical="center" wrapText="1"/>
    </dxf>
    <dxf>
      <font>
        <strike val="0"/>
        <outline val="0"/>
        <shadow val="0"/>
        <vertAlign val="baseline"/>
        <sz val="14"/>
        <color auto="1"/>
        <name val="Century Gothic"/>
        <scheme val="minor"/>
      </font>
      <alignment horizontal="left" vertical="center" wrapText="1"/>
    </dxf>
    <dxf>
      <font>
        <strike val="0"/>
        <outline val="0"/>
        <shadow val="0"/>
        <vertAlign val="baseline"/>
        <sz val="14"/>
        <color auto="1"/>
        <name val="Century Gothic"/>
        <scheme val="minor"/>
      </font>
      <alignment horizontal="left" vertical="center" wrapText="1"/>
    </dxf>
    <dxf>
      <font>
        <b/>
        <strike val="0"/>
        <outline val="0"/>
        <shadow val="0"/>
        <vertAlign val="baseline"/>
        <sz val="14"/>
        <color theme="0"/>
        <name val="Century Gothic"/>
        <scheme val="minor"/>
      </font>
      <alignment horizontal="center" vertical="center" wrapText="1"/>
    </dxf>
    <dxf>
      <font>
        <b/>
        <strike val="0"/>
        <condense val="0"/>
        <extend val="0"/>
        <outline val="0"/>
        <shadow val="0"/>
        <vertAlign val="baseline"/>
        <sz val="9"/>
        <color theme="1" tint="0.249977111117893"/>
        <name val="Century Gothic"/>
        <scheme val="minor"/>
      </font>
      <numFmt numFmtId="165" formatCode="[$-409]d\-mmm\-yy;@"/>
      <fill>
        <patternFill patternType="solid">
          <fgColor indexed="64"/>
          <bgColor theme="6" tint="0.79998168889431442"/>
        </patternFill>
      </fill>
      <alignment horizontal="center" vertical="center"/>
    </dxf>
    <dxf>
      <font>
        <b/>
        <strike val="0"/>
        <condense val="0"/>
        <extend val="0"/>
        <outline val="0"/>
        <shadow val="0"/>
        <vertAlign val="baseline"/>
        <sz val="9"/>
        <color theme="1" tint="0.249977111117893"/>
        <name val="Century Gothic"/>
        <scheme val="minor"/>
      </font>
      <numFmt numFmtId="0" formatCode="General"/>
      <fill>
        <patternFill patternType="solid">
          <fgColor indexed="64"/>
          <bgColor theme="6" tint="0.79998168889431442"/>
        </patternFill>
      </fill>
      <alignment horizontal="center" vertical="center"/>
    </dxf>
    <dxf>
      <font>
        <b/>
        <strike val="0"/>
        <condense val="0"/>
        <extend val="0"/>
        <outline val="0"/>
        <shadow val="0"/>
        <vertAlign val="baseline"/>
        <sz val="9"/>
        <color theme="1" tint="0.249977111117893"/>
        <name val="Century Gothic"/>
        <scheme val="minor"/>
      </font>
      <numFmt numFmtId="165" formatCode="[$-409]d\-mmm\-yy;@"/>
      <fill>
        <patternFill patternType="solid">
          <fgColor indexed="64"/>
          <bgColor theme="6" tint="0.79998168889431442"/>
        </patternFill>
      </fill>
      <alignment horizontal="center" vertical="center"/>
    </dxf>
    <dxf>
      <font>
        <strike val="0"/>
        <condense val="0"/>
        <extend val="0"/>
        <outline val="0"/>
        <shadow val="0"/>
        <vertAlign val="baseline"/>
        <sz val="8"/>
        <color theme="1" tint="0.249977111117893"/>
        <name val="Century Gothic"/>
        <scheme val="minor"/>
      </font>
      <fill>
        <patternFill patternType="solid">
          <fgColor indexed="64"/>
          <bgColor theme="6" tint="0.79998168889431442"/>
        </patternFill>
      </fill>
      <alignment horizontal="center" vertical="center"/>
    </dxf>
    <dxf>
      <font>
        <strike val="0"/>
        <condense val="0"/>
        <extend val="0"/>
        <outline val="0"/>
        <shadow val="0"/>
        <vertAlign val="baseline"/>
        <sz val="8"/>
        <color theme="1" tint="0.249977111117893"/>
        <name val="Century Gothic"/>
        <scheme val="minor"/>
      </font>
      <numFmt numFmtId="0" formatCode="General"/>
      <fill>
        <patternFill patternType="solid">
          <fgColor indexed="64"/>
          <bgColor theme="6" tint="0.79998168889431442"/>
        </patternFill>
      </fill>
      <alignment horizontal="center" vertical="center"/>
    </dxf>
    <dxf>
      <font>
        <strike val="0"/>
        <condense val="0"/>
        <extend val="0"/>
        <outline val="0"/>
        <shadow val="0"/>
        <vertAlign val="baseline"/>
        <sz val="8"/>
        <color theme="1" tint="0.249977111117893"/>
        <name val="Century Gothic"/>
        <scheme val="minor"/>
      </font>
      <numFmt numFmtId="0" formatCode="General"/>
      <fill>
        <patternFill patternType="solid">
          <fgColor indexed="64"/>
          <bgColor theme="6" tint="0.79998168889431442"/>
        </patternFill>
      </fill>
      <alignment horizontal="center" vertical="center"/>
    </dxf>
    <dxf>
      <font>
        <strike val="0"/>
        <condense val="0"/>
        <extend val="0"/>
        <outline val="0"/>
        <shadow val="0"/>
        <vertAlign val="baseline"/>
        <sz val="8"/>
        <color theme="1" tint="0.249977111117893"/>
        <name val="Century Gothic"/>
        <scheme val="minor"/>
      </font>
      <numFmt numFmtId="0" formatCode="General"/>
      <fill>
        <patternFill patternType="solid">
          <fgColor indexed="64"/>
          <bgColor theme="6" tint="0.79998168889431442"/>
        </patternFill>
      </fill>
      <alignment horizontal="center" vertical="center"/>
    </dxf>
    <dxf>
      <font>
        <strike val="0"/>
        <condense val="0"/>
        <extend val="0"/>
        <outline val="0"/>
        <shadow val="0"/>
        <vertAlign val="baseline"/>
        <sz val="8"/>
        <color theme="1" tint="0.249977111117893"/>
        <name val="Century Gothic"/>
        <scheme val="minor"/>
      </font>
      <fill>
        <patternFill patternType="solid">
          <fgColor indexed="64"/>
          <bgColor theme="6" tint="0.79998168889431442"/>
        </patternFill>
      </fill>
      <alignment horizontal="center" vertical="center"/>
    </dxf>
    <dxf>
      <font>
        <strike val="0"/>
        <outline val="0"/>
        <shadow val="0"/>
        <vertAlign val="baseline"/>
        <sz val="10"/>
        <color theme="0"/>
        <name val="Century Gothic"/>
        <scheme val="major"/>
      </font>
      <border outline="0">
        <left style="medium">
          <color theme="0"/>
        </left>
        <right style="medium">
          <color theme="0"/>
        </right>
        <top/>
        <bottom/>
      </border>
    </dxf>
    <dxf>
      <fill>
        <patternFill>
          <bgColor theme="6" tint="0.79998168889431442"/>
        </patternFill>
      </fill>
    </dxf>
    <dxf>
      <fill>
        <patternFill>
          <bgColor theme="6" tint="0.79998168889431442"/>
        </patternFill>
      </fill>
    </dxf>
    <dxf>
      <fill>
        <patternFill>
          <bgColor theme="6"/>
        </patternFill>
      </fill>
    </dxf>
    <dxf>
      <border>
        <left style="thick">
          <color theme="0"/>
        </left>
        <right style="thick">
          <color theme="0"/>
        </right>
        <top style="thick">
          <color theme="0"/>
        </top>
        <bottom style="thick">
          <color theme="0"/>
        </bottom>
        <vertical style="thick">
          <color theme="0"/>
        </vertical>
        <horizontal style="thick">
          <color theme="0"/>
        </horizontal>
      </border>
    </dxf>
  </dxfs>
  <tableStyles count="1" defaultTableStyle="TableStyleMedium2" defaultPivotStyle="PivotStyleLight16">
    <tableStyle name="Sales invoice simple blue design" pivot="0" count="4" xr9:uid="{00000000-0011-0000-FFFF-FFFF00000000}">
      <tableStyleElement type="wholeTable" dxfId="49"/>
      <tableStyleElement type="headerRow" dxfId="48"/>
      <tableStyleElement type="lastColumn" dxfId="47"/>
      <tableStyleElement type="secondRowStripe" dxfId="4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r>
              <a:rPr lang="en-US"/>
              <a:t>None</a:t>
            </a:r>
          </a:p>
        </c:rich>
      </c:tx>
      <c:overlay val="0"/>
      <c:spPr>
        <a:noFill/>
        <a:ln>
          <a:noFill/>
          <a:prstDash val="solid"/>
        </a:ln>
      </c:spPr>
    </c:title>
    <c:autoTitleDeleted val="0"/>
    <c:plotArea>
      <c:layout/>
      <c:barChart>
        <c:barDir val="col"/>
        <c:grouping val="clustered"/>
        <c:varyColors val="0"/>
        <c:ser>
          <c:idx val="0"/>
          <c:order val="0"/>
          <c:tx>
            <c:strRef>
              <c:f>'Sales Invoice'!$H$5:$H$6</c:f>
              <c:strCache>
                <c:ptCount val="2"/>
                <c:pt idx="0">
                  <c:v>Invoice</c:v>
                </c:pt>
                <c:pt idx="1">
                  <c:v>21-Aug-26</c:v>
                </c:pt>
              </c:strCache>
            </c:strRef>
          </c:tx>
          <c:spPr>
            <a:solidFill>
              <a:schemeClr val="accent1"/>
            </a:solidFill>
            <a:ln>
              <a:noFill/>
              <a:prstDash val="solid"/>
            </a:ln>
          </c:spPr>
          <c:invertIfNegative val="0"/>
          <c:cat>
            <c:strRef>
              <c:f>'Sales Invoice'!$G$7:$G$8</c:f>
              <c:strCache>
                <c:ptCount val="2"/>
                <c:pt idx="0">
                  <c:v>Invoice #:</c:v>
                </c:pt>
                <c:pt idx="1">
                  <c:v>        </c:v>
                </c:pt>
              </c:strCache>
            </c:strRef>
          </c:cat>
          <c:val>
            <c:numRef>
              <c:f>'Sales Invoice'!$H$7:$H$8</c:f>
              <c:numCache>
                <c:formatCode>General</c:formatCode>
                <c:ptCount val="2"/>
                <c:pt idx="0">
                  <c:v>9264</c:v>
                </c:pt>
              </c:numCache>
            </c:numRef>
          </c:val>
          <c:extLst>
            <c:ext xmlns:c16="http://schemas.microsoft.com/office/drawing/2014/chart" uri="{C3380CC4-5D6E-409C-BE32-E72D297353CC}">
              <c16:uniqueId val="{00000000-4574-4669-8DDA-87B18C580607}"/>
            </c:ext>
          </c:extLst>
        </c:ser>
        <c:dLbls>
          <c:showLegendKey val="0"/>
          <c:showVal val="0"/>
          <c:showCatName val="0"/>
          <c:showSerName val="0"/>
          <c:showPercent val="0"/>
          <c:showBubbleSize val="0"/>
        </c:dLbls>
        <c:gapWidth val="219"/>
        <c:overlap val="-27"/>
        <c:axId val="476532303"/>
        <c:axId val="476512623"/>
      </c:barChart>
      <c:catAx>
        <c:axId val="47653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76512623"/>
        <c:crosses val="autoZero"/>
        <c:auto val="1"/>
        <c:lblAlgn val="ctr"/>
        <c:lblOffset val="100"/>
        <c:noMultiLvlLbl val="0"/>
      </c:catAx>
      <c:valAx>
        <c:axId val="476512623"/>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76532303"/>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100-000000000000}">
  <sheetPr codeName="Chart4"/>
  <sheetViews>
    <sheetView zoomScale="61" workbookViewId="0" zoomToFit="1"/>
  </sheetViews>
  <pageMargins left="0.7" right="0.7" top="0.75" bottom="0.75" header="0.3" footer="0.3"/>
  <pageSetup orientation="landscape" horizontalDpi="4294967295" verticalDpi="4294967295"/>
  <drawing r:id="rId1"/>
</chartsheet>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0" cy="0"/>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13</xdr:col>
      <xdr:colOff>290888</xdr:colOff>
      <xdr:row>13</xdr:row>
      <xdr:rowOff>213634</xdr:rowOff>
    </xdr:from>
    <xdr:to>
      <xdr:col>24</xdr:col>
      <xdr:colOff>290888</xdr:colOff>
      <xdr:row>17</xdr:row>
      <xdr:rowOff>161116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2240433" y="4560498"/>
          <a:ext cx="6667500" cy="969254"/>
        </a:xfrm>
        <a:prstGeom prst="rect">
          <a:avLst/>
        </a:prstGeom>
        <a:solidFill>
          <a:schemeClr val="tx2">
            <a:lumMod val="75000"/>
          </a:schemeClr>
        </a:solidFill>
        <a:ln>
          <a:prstDash val="solid"/>
        </a:ln>
      </xdr:spPr>
    </xdr:pic>
    <xdr:clientData/>
  </xdr:twoCellAnchor>
  <xdr:twoCellAnchor editAs="absolute">
    <xdr:from>
      <xdr:col>13</xdr:col>
      <xdr:colOff>266232</xdr:colOff>
      <xdr:row>5</xdr:row>
      <xdr:rowOff>178171</xdr:rowOff>
    </xdr:from>
    <xdr:to>
      <xdr:col>24</xdr:col>
      <xdr:colOff>288246</xdr:colOff>
      <xdr:row>7</xdr:row>
      <xdr:rowOff>278852</xdr:rowOff>
    </xdr:to>
    <xdr:pic>
      <xdr:nvPicPr>
        <xdr:cNvPr id="3" name="Picture 2" descr="G:\New UA International.jpg">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rcRect/>
        <a:stretch>
          <a:fillRect/>
        </a:stretch>
      </xdr:blipFill>
      <xdr:spPr bwMode="auto">
        <a:xfrm>
          <a:off x="12215777" y="2325626"/>
          <a:ext cx="6689514" cy="879999"/>
        </a:xfrm>
        <a:prstGeom prst="rect">
          <a:avLst/>
        </a:prstGeom>
        <a:noFill/>
        <a:ln w="9525">
          <a:noFill/>
          <a:prstDash val="solid"/>
          <a:miter lim="800000"/>
          <a:headEnd/>
          <a:tailEnd/>
        </a:ln>
      </xdr:spPr>
    </xdr:pic>
    <xdr:clientData/>
  </xdr:twoCellAnchor>
  <mc:AlternateContent xmlns:mc="http://schemas.openxmlformats.org/markup-compatibility/2006">
    <mc:Choice xmlns:a14="http://schemas.microsoft.com/office/drawing/2010/main" Requires="a14">
      <xdr:twoCellAnchor editAs="absolute">
        <xdr:from>
          <xdr:col>1</xdr:col>
          <xdr:colOff>342900</xdr:colOff>
          <xdr:row>0</xdr:row>
          <xdr:rowOff>123825</xdr:rowOff>
        </xdr:from>
        <xdr:to>
          <xdr:col>2</xdr:col>
          <xdr:colOff>352425</xdr:colOff>
          <xdr:row>2</xdr:row>
          <xdr:rowOff>85725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rial Black"/>
                </a:rPr>
                <a:t>Save To PDF</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xdr:colOff>
          <xdr:row>0</xdr:row>
          <xdr:rowOff>114300</xdr:rowOff>
        </xdr:from>
        <xdr:to>
          <xdr:col>3</xdr:col>
          <xdr:colOff>838200</xdr:colOff>
          <xdr:row>2</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rial Black"/>
                </a:rPr>
                <a:t>Backup </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314325</xdr:colOff>
          <xdr:row>1</xdr:row>
          <xdr:rowOff>123825</xdr:rowOff>
        </xdr:from>
        <xdr:to>
          <xdr:col>2</xdr:col>
          <xdr:colOff>981075</xdr:colOff>
          <xdr:row>2</xdr:row>
          <xdr:rowOff>152400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Arial Black"/>
                </a:rPr>
                <a:t>Next Invoice </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ffice%20Accounts\Invoice%20and%20Quoatation%20Form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Customers"/>
      <sheetName val="Vendors"/>
      <sheetName val="Products"/>
      <sheetName val="New Entry"/>
      <sheetName val="Purchase"/>
      <sheetName val="Quoatation"/>
      <sheetName val="Sales Invoice"/>
      <sheetName val="DLedger"/>
      <sheetName val="Invoice and Quoatation Format"/>
    </sheetNames>
    <sheetDataSet>
      <sheetData sheetId="0" refreshError="1"/>
      <sheetData sheetId="1"/>
      <sheetData sheetId="2" refreshError="1"/>
      <sheetData sheetId="3"/>
      <sheetData sheetId="4" refreshError="1"/>
      <sheetData sheetId="5" refreshError="1"/>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etails" displayName="SalesDetails" ref="B15:H16" totalsRowShown="0" headerRowDxfId="45" dataDxfId="44" headerRowCellStyle="Normal 2">
  <autoFilter ref="B15:H16"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Column1" dataDxfId="43"/>
    <tableColumn id="2" xr3:uid="{00000000-0010-0000-0000-000002000000}" name="Job" dataDxfId="42"/>
    <tableColumn id="3" xr3:uid="{00000000-0010-0000-0000-000003000000}" name="Shipping Method" dataDxfId="41"/>
    <tableColumn id="4" xr3:uid="{00000000-0010-0000-0000-000004000000}" name="Shipping Terms" dataDxfId="40"/>
    <tableColumn id="5" xr3:uid="{00000000-0010-0000-0000-000005000000}" name="Delivery Date" dataDxfId="39"/>
    <tableColumn id="6" xr3:uid="{00000000-0010-0000-0000-000006000000}" name="Payment Terms" dataDxfId="38"/>
    <tableColumn id="7" xr3:uid="{00000000-0010-0000-0000-000007000000}" name="Due Date" dataDxfId="37"/>
  </tableColumns>
  <tableStyleInfo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C18:H39" totalsRowShown="0" headerRowDxfId="36" dataDxfId="35" headerRowCellStyle="Normal" dataCellStyle="Normal">
  <autoFilter ref="C18:H39" xr:uid="{00000000-0009-0000-0100-000002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100-000001000000}" name="Brand" dataDxfId="34" dataCellStyle="Normal"/>
    <tableColumn id="2" xr3:uid="{00000000-0010-0000-0100-000002000000}" name="Description" dataDxfId="33" dataCellStyle="Normal"/>
    <tableColumn id="3" xr3:uid="{00000000-0010-0000-0100-000003000000}" name="Qty" dataDxfId="32" dataCellStyle="Normal"/>
    <tableColumn id="5" xr3:uid="{00000000-0010-0000-0100-000005000000}" name="Unit Price" dataDxfId="31" dataCellStyle="Normal"/>
    <tableColumn id="6" xr3:uid="{00000000-0010-0000-0100-000006000000}" name="Discount" dataDxfId="30" dataCellStyle="Normal"/>
    <tableColumn id="7" xr3:uid="{00000000-0010-0000-0100-000007000000}" name="Line Total" dataDxfId="29" dataCellStyle="Normal">
      <calculatedColumnFormula>IF(SUM(E19)&gt;0,SUM((E19*F19)-G19),"")</calculatedColumnFormula>
    </tableColumn>
  </tableColumns>
  <tableStyleInfo name="Sales invoice simple blue design" showFirstColumn="0"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6" displayName="Table6" ref="A6:N252" headerRowDxfId="28" dataDxfId="26" totalsRowDxfId="24" headerRowBorderDxfId="27" tableBorderDxfId="25">
  <tableColumns count="14">
    <tableColumn id="1" xr3:uid="{00000000-0010-0000-0200-000001000000}" name="Date" totalsRowLabel="Total" dataDxfId="23" totalsRowDxfId="22"/>
    <tableColumn id="2" xr3:uid="{00000000-0010-0000-0200-000002000000}" name="Invoice No" dataDxfId="21" totalsRowDxfId="20"/>
    <tableColumn id="3" xr3:uid="{00000000-0010-0000-0200-000003000000}" name="Part Name" dataDxfId="19" totalsRowDxfId="18"/>
    <tableColumn id="4" xr3:uid="{00000000-0010-0000-0200-000004000000}" name="Total Amount" totalsRowFunction="sum" dataDxfId="17" totalsRowDxfId="16" dataCellStyle="Comma"/>
    <tableColumn id="5" xr3:uid="{00000000-0010-0000-0200-000005000000}" name="Add GST Tax @18% Full" dataDxfId="15" totalsRowDxfId="14" dataCellStyle="Comma"/>
    <tableColumn id="6" xr3:uid="{00000000-0010-0000-0200-000006000000}" name="Total Value Including Tax" dataDxfId="13" totalsRowDxfId="12" dataCellStyle="Comma"/>
    <tableColumn id="7" xr3:uid="{00000000-0010-0000-0200-000007000000}" name="Total Discount" dataDxfId="11" totalsRowDxfId="10" dataCellStyle="Comma"/>
    <tableColumn id="8" xr3:uid="{00000000-0010-0000-0200-000008000000}" name="Total Net Value After Discount" totalsRowFunction="sum" dataDxfId="9" totalsRowDxfId="8" dataCellStyle="Comma"/>
    <tableColumn id="14" xr3:uid="{00000000-0010-0000-0200-00000E000000}" name="Column1" dataDxfId="7" dataCellStyle="Comma"/>
    <tableColumn id="9" xr3:uid="{00000000-0010-0000-0200-000009000000}" name="Less GST Tax @5.5%" dataDxfId="6" totalsRowDxfId="5" dataCellStyle="Comma">
      <calculatedColumnFormula>Table6[[#This Row],[Total Value Including Tax]]*$J$5</calculatedColumnFormula>
    </tableColumn>
    <tableColumn id="10" xr3:uid="{00000000-0010-0000-0200-00000A000000}" name="Remaining Value" dataDxfId="4" totalsRowDxfId="3" dataCellStyle="Comma">
      <calculatedColumnFormula>Table6[[#This Row],[Total Value Including Tax]]-Table6[[#This Row],[Less GST Tax @5.5%]]</calculatedColumnFormula>
    </tableColumn>
    <tableColumn id="11" xr3:uid="{00000000-0010-0000-0200-00000B000000}" name="Less GST Tax @18% Value" dataDxfId="2" dataCellStyle="Comma">
      <calculatedColumnFormula>Table6[[#This Row],[Remaining Value]]-Table6[[#This Row],[Add GST Tax @18% Full]]</calculatedColumnFormula>
    </tableColumn>
    <tableColumn id="12" xr3:uid="{00000000-0010-0000-0200-00000C000000}" name="Transfer Amount" dataDxfId="1" dataCellStyle="Comma"/>
    <tableColumn id="13" xr3:uid="{00000000-0010-0000-0200-00000D000000}" name="Profit Amount" dataDxfId="0" dataCellStyle="Comma">
      <calculatedColumnFormula>Table6[[#This Row],[Less GST Tax @18% Value]]-Table6[[#This Row],[Transfer Amount]]</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Custom 23">
      <a:dk1>
        <a:sysClr val="windowText" lastClr="000000"/>
      </a:dk1>
      <a:lt1>
        <a:sysClr val="window" lastClr="FFFFFF"/>
      </a:lt1>
      <a:dk2>
        <a:srgbClr val="646B86"/>
      </a:dk2>
      <a:lt2>
        <a:srgbClr val="C5D1D7"/>
      </a:lt2>
      <a:accent1>
        <a:srgbClr val="D16349"/>
      </a:accent1>
      <a:accent2>
        <a:srgbClr val="CCB400"/>
      </a:accent2>
      <a:accent3>
        <a:srgbClr val="436784"/>
      </a:accent3>
      <a:accent4>
        <a:srgbClr val="8C7B70"/>
      </a:accent4>
      <a:accent5>
        <a:srgbClr val="3C81BA"/>
      </a:accent5>
      <a:accent6>
        <a:srgbClr val="F1FAFD"/>
      </a:accent6>
      <a:hlink>
        <a:srgbClr val="00A3D6"/>
      </a:hlink>
      <a:folHlink>
        <a:srgbClr val="694F07"/>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36"/>
  <sheetViews>
    <sheetView topLeftCell="A26" workbookViewId="0">
      <selection activeCell="B24" sqref="B24"/>
    </sheetView>
  </sheetViews>
  <sheetFormatPr defaultRowHeight="13.5" x14ac:dyDescent="0.25"/>
  <sheetData>
    <row r="1" spans="1:1" ht="54" customHeight="1" x14ac:dyDescent="0.25">
      <c r="A1" t="s">
        <v>41</v>
      </c>
    </row>
    <row r="2" spans="1:1" ht="54" customHeight="1" x14ac:dyDescent="0.25">
      <c r="A2" t="s">
        <v>42</v>
      </c>
    </row>
    <row r="3" spans="1:1" ht="40.5" customHeight="1" x14ac:dyDescent="0.25">
      <c r="A3" t="s">
        <v>43</v>
      </c>
    </row>
    <row r="4" spans="1:1" ht="40.5" customHeight="1" x14ac:dyDescent="0.25">
      <c r="A4" t="s">
        <v>44</v>
      </c>
    </row>
    <row r="5" spans="1:1" x14ac:dyDescent="0.25">
      <c r="A5" t="s">
        <v>45</v>
      </c>
    </row>
    <row r="6" spans="1:1" ht="27" customHeight="1" x14ac:dyDescent="0.25">
      <c r="A6" t="s">
        <v>46</v>
      </c>
    </row>
    <row r="7" spans="1:1" ht="54" customHeight="1" x14ac:dyDescent="0.25">
      <c r="A7" t="s">
        <v>47</v>
      </c>
    </row>
    <row r="8" spans="1:1" x14ac:dyDescent="0.25">
      <c r="A8" t="s">
        <v>48</v>
      </c>
    </row>
    <row r="9" spans="1:1" x14ac:dyDescent="0.25">
      <c r="A9" t="s">
        <v>49</v>
      </c>
    </row>
    <row r="10" spans="1:1" ht="27" customHeight="1" x14ac:dyDescent="0.25">
      <c r="A10" t="s">
        <v>50</v>
      </c>
    </row>
    <row r="11" spans="1:1" ht="40.5" customHeight="1" x14ac:dyDescent="0.25">
      <c r="A11" t="s">
        <v>51</v>
      </c>
    </row>
    <row r="12" spans="1:1" ht="27" customHeight="1" x14ac:dyDescent="0.25">
      <c r="A12" t="s">
        <v>52</v>
      </c>
    </row>
    <row r="13" spans="1:1" ht="40.5" customHeight="1" x14ac:dyDescent="0.25">
      <c r="A13" t="s">
        <v>53</v>
      </c>
    </row>
    <row r="14" spans="1:1" ht="27" customHeight="1" x14ac:dyDescent="0.25">
      <c r="A14" t="s">
        <v>54</v>
      </c>
    </row>
    <row r="15" spans="1:1" x14ac:dyDescent="0.25">
      <c r="A15" t="s">
        <v>55</v>
      </c>
    </row>
    <row r="16" spans="1:1" ht="40.5" customHeight="1" x14ac:dyDescent="0.25">
      <c r="A16" t="s">
        <v>56</v>
      </c>
    </row>
    <row r="17" spans="1:1" ht="27" customHeight="1" x14ac:dyDescent="0.25">
      <c r="A17" t="s">
        <v>57</v>
      </c>
    </row>
    <row r="18" spans="1:1" ht="27" customHeight="1" x14ac:dyDescent="0.25">
      <c r="A18" t="s">
        <v>58</v>
      </c>
    </row>
    <row r="19" spans="1:1" ht="27" customHeight="1" x14ac:dyDescent="0.25">
      <c r="A19" t="s">
        <v>59</v>
      </c>
    </row>
    <row r="20" spans="1:1" x14ac:dyDescent="0.25">
      <c r="A20" t="s">
        <v>60</v>
      </c>
    </row>
    <row r="21" spans="1:1" x14ac:dyDescent="0.25">
      <c r="A21" t="s">
        <v>61</v>
      </c>
    </row>
    <row r="22" spans="1:1" x14ac:dyDescent="0.25">
      <c r="A22" t="s">
        <v>62</v>
      </c>
    </row>
    <row r="23" spans="1:1" ht="40.5" customHeight="1" x14ac:dyDescent="0.25">
      <c r="A23" t="s">
        <v>63</v>
      </c>
    </row>
    <row r="24" spans="1:1" ht="27" customHeight="1" x14ac:dyDescent="0.25">
      <c r="A24" t="s">
        <v>64</v>
      </c>
    </row>
    <row r="25" spans="1:1" ht="40.5" customHeight="1" x14ac:dyDescent="0.25">
      <c r="A25" t="s">
        <v>65</v>
      </c>
    </row>
    <row r="26" spans="1:1" ht="40.5" customHeight="1" x14ac:dyDescent="0.25">
      <c r="A26" t="s">
        <v>66</v>
      </c>
    </row>
    <row r="27" spans="1:1" ht="27" customHeight="1" x14ac:dyDescent="0.25">
      <c r="A27" t="s">
        <v>67</v>
      </c>
    </row>
    <row r="28" spans="1:1" x14ac:dyDescent="0.25">
      <c r="A28" t="s">
        <v>68</v>
      </c>
    </row>
    <row r="29" spans="1:1" ht="40.5" customHeight="1" x14ac:dyDescent="0.25">
      <c r="A29" t="s">
        <v>69</v>
      </c>
    </row>
    <row r="30" spans="1:1" ht="27" customHeight="1" x14ac:dyDescent="0.25">
      <c r="A30" t="s">
        <v>70</v>
      </c>
    </row>
    <row r="31" spans="1:1" ht="27" customHeight="1" x14ac:dyDescent="0.25">
      <c r="A31" t="s">
        <v>71</v>
      </c>
    </row>
    <row r="32" spans="1:1" ht="27" customHeight="1" x14ac:dyDescent="0.25">
      <c r="A32" t="s">
        <v>72</v>
      </c>
    </row>
    <row r="33" spans="1:1" ht="27" customHeight="1" x14ac:dyDescent="0.25">
      <c r="A33" t="s">
        <v>73</v>
      </c>
    </row>
    <row r="34" spans="1:1" ht="27" customHeight="1" x14ac:dyDescent="0.25">
      <c r="A34" t="s">
        <v>74</v>
      </c>
    </row>
    <row r="35" spans="1:1" ht="40.5" customHeight="1" x14ac:dyDescent="0.25">
      <c r="A35" t="s">
        <v>75</v>
      </c>
    </row>
    <row r="36" spans="1:1" ht="27" customHeight="1" x14ac:dyDescent="0.25">
      <c r="A36" t="s">
        <v>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pageSetUpPr fitToPage="1"/>
  </sheetPr>
  <dimension ref="A4:T61"/>
  <sheetViews>
    <sheetView showGridLines="0" tabSelected="1" showRuler="0" topLeftCell="A25" zoomScale="55" zoomScaleNormal="55" zoomScaleSheetLayoutView="22" zoomScalePageLayoutView="60" workbookViewId="0">
      <selection activeCell="L18" sqref="L18"/>
    </sheetView>
  </sheetViews>
  <sheetFormatPr defaultColWidth="9.140625" defaultRowHeight="13.5" x14ac:dyDescent="0.25"/>
  <cols>
    <col min="1" max="1" width="2.42578125" style="10" customWidth="1"/>
    <col min="2" max="2" width="9.5703125" style="1" bestFit="1" customWidth="1"/>
    <col min="3" max="3" width="15.7109375" style="1" customWidth="1"/>
    <col min="4" max="4" width="40.7109375" style="1" customWidth="1"/>
    <col min="5" max="5" width="18.140625" style="1" customWidth="1"/>
    <col min="6" max="6" width="17" style="1" customWidth="1"/>
    <col min="7" max="7" width="16.42578125" style="1" customWidth="1"/>
    <col min="8" max="8" width="19.140625" style="1" customWidth="1"/>
    <col min="9" max="9" width="3.5703125" style="1" customWidth="1"/>
    <col min="10" max="11" width="9.140625" style="1" customWidth="1"/>
    <col min="12" max="16384" width="9.140625" style="1"/>
  </cols>
  <sheetData>
    <row r="4" spans="1:20" ht="84.6" customHeight="1" x14ac:dyDescent="0.25"/>
    <row r="5" spans="1:20" s="7" customFormat="1" ht="43.7" customHeight="1" thickBot="1" x14ac:dyDescent="0.55000000000000004">
      <c r="A5" s="8" t="s">
        <v>0</v>
      </c>
      <c r="B5" s="172"/>
      <c r="C5" s="173"/>
      <c r="D5" s="173"/>
      <c r="E5" s="20"/>
      <c r="F5" s="21"/>
      <c r="G5" s="179" t="s">
        <v>1</v>
      </c>
      <c r="H5" s="173"/>
    </row>
    <row r="6" spans="1:20" ht="37.5" customHeight="1" thickTop="1" x14ac:dyDescent="0.4">
      <c r="A6" s="8" t="s">
        <v>2</v>
      </c>
      <c r="C6" s="174" t="s">
        <v>3</v>
      </c>
      <c r="D6" s="175"/>
      <c r="E6" s="24"/>
      <c r="G6" s="49" t="s">
        <v>4</v>
      </c>
      <c r="H6" s="44">
        <v>46255</v>
      </c>
    </row>
    <row r="7" spans="1:20" ht="23.45" customHeight="1" x14ac:dyDescent="0.25">
      <c r="A7" s="8" t="s">
        <v>5</v>
      </c>
      <c r="C7" s="176" t="s">
        <v>6</v>
      </c>
      <c r="D7" s="164"/>
      <c r="E7" s="25"/>
      <c r="G7" s="50" t="s">
        <v>7</v>
      </c>
      <c r="H7" s="129">
        <v>9264</v>
      </c>
    </row>
    <row r="8" spans="1:20" s="3" customFormat="1" ht="27" customHeight="1" thickBot="1" x14ac:dyDescent="0.3">
      <c r="A8" s="8" t="s">
        <v>8</v>
      </c>
      <c r="B8" s="26"/>
      <c r="C8" s="26"/>
      <c r="D8" s="26"/>
      <c r="E8" s="26"/>
      <c r="F8" s="22"/>
      <c r="G8" s="51" t="s">
        <v>9</v>
      </c>
      <c r="H8" s="128"/>
      <c r="N8" s="1"/>
    </row>
    <row r="9" spans="1:20" s="2" customFormat="1" ht="27.95" customHeight="1" x14ac:dyDescent="0.3">
      <c r="A9" s="8" t="s">
        <v>10</v>
      </c>
      <c r="B9" s="28"/>
      <c r="C9" s="183"/>
      <c r="D9" s="184"/>
      <c r="E9" s="28"/>
      <c r="F9" s="115"/>
      <c r="G9" s="46"/>
      <c r="H9" s="27"/>
    </row>
    <row r="10" spans="1:20" s="2" customFormat="1" ht="14.1" customHeight="1" x14ac:dyDescent="0.3">
      <c r="A10" s="9"/>
      <c r="B10" s="45"/>
      <c r="C10" s="52" t="s">
        <v>3</v>
      </c>
      <c r="D10" s="46"/>
      <c r="E10" s="47" t="s">
        <v>11</v>
      </c>
      <c r="F10" s="170" t="s">
        <v>56</v>
      </c>
      <c r="G10" s="167"/>
      <c r="H10" s="167"/>
    </row>
    <row r="11" spans="1:20" s="2" customFormat="1" ht="14.1" customHeight="1" x14ac:dyDescent="0.3">
      <c r="A11" s="9"/>
      <c r="B11" s="46"/>
      <c r="C11" s="46" t="s">
        <v>13</v>
      </c>
      <c r="D11" s="46"/>
      <c r="E11" s="47" t="s">
        <v>111</v>
      </c>
      <c r="F11" s="115"/>
      <c r="G11" s="46"/>
      <c r="H11" s="27"/>
      <c r="K11" s="1"/>
      <c r="L11" s="1"/>
      <c r="M11" s="1"/>
      <c r="N11" s="1"/>
      <c r="O11" s="1"/>
      <c r="P11" s="1"/>
      <c r="Q11" s="1"/>
      <c r="R11" s="1"/>
      <c r="S11" s="1"/>
      <c r="T11" s="1"/>
    </row>
    <row r="12" spans="1:20" s="2" customFormat="1" ht="14.1" customHeight="1" x14ac:dyDescent="0.3">
      <c r="A12" s="9"/>
      <c r="B12" s="46"/>
      <c r="C12" s="46" t="s">
        <v>14</v>
      </c>
      <c r="D12" s="46"/>
      <c r="E12" s="47" t="s">
        <v>112</v>
      </c>
      <c r="F12" s="182"/>
      <c r="G12" s="167"/>
      <c r="H12" s="167"/>
      <c r="K12" s="1"/>
      <c r="L12" s="1"/>
      <c r="M12" s="1"/>
      <c r="N12" s="1"/>
      <c r="O12" s="1"/>
      <c r="P12" s="1"/>
      <c r="Q12" s="1"/>
      <c r="R12" s="1"/>
      <c r="S12" s="1"/>
      <c r="T12" s="1"/>
    </row>
    <row r="13" spans="1:20" s="2" customFormat="1" ht="16.350000000000001" customHeight="1" x14ac:dyDescent="0.3">
      <c r="A13" s="9"/>
      <c r="B13" s="46"/>
      <c r="C13" s="15"/>
      <c r="D13" s="46"/>
      <c r="E13" s="47" t="s">
        <v>15</v>
      </c>
      <c r="F13" s="185"/>
      <c r="G13" s="167"/>
      <c r="H13" s="27"/>
      <c r="K13" s="1"/>
      <c r="L13" s="1"/>
      <c r="M13" s="1"/>
      <c r="N13" s="1"/>
      <c r="O13" s="1"/>
      <c r="P13" s="1"/>
      <c r="Q13" s="1"/>
      <c r="R13" s="1"/>
      <c r="S13" s="1"/>
      <c r="T13" s="1"/>
    </row>
    <row r="14" spans="1:20" s="2" customFormat="1" ht="22.5" customHeight="1" x14ac:dyDescent="0.3">
      <c r="A14" s="9"/>
      <c r="B14" s="48"/>
      <c r="C14" s="48"/>
      <c r="D14" s="48"/>
      <c r="E14" s="48"/>
      <c r="F14" s="48"/>
      <c r="G14" s="48"/>
      <c r="H14" s="27"/>
      <c r="K14" s="1"/>
      <c r="L14" s="1"/>
      <c r="M14" s="1"/>
      <c r="N14" s="1"/>
      <c r="O14" s="1"/>
      <c r="P14" s="1"/>
      <c r="Q14" s="1"/>
      <c r="R14" s="1"/>
      <c r="S14" s="1"/>
      <c r="T14" s="1"/>
    </row>
    <row r="15" spans="1:20" ht="19.7" customHeight="1" x14ac:dyDescent="0.25">
      <c r="A15" s="10" t="s">
        <v>16</v>
      </c>
      <c r="B15" s="23" t="s">
        <v>17</v>
      </c>
      <c r="C15" s="18" t="s">
        <v>18</v>
      </c>
      <c r="D15" s="18" t="s">
        <v>19</v>
      </c>
      <c r="E15" s="18" t="s">
        <v>20</v>
      </c>
      <c r="F15" s="18" t="s">
        <v>21</v>
      </c>
      <c r="G15" s="18" t="s">
        <v>22</v>
      </c>
      <c r="H15" s="18" t="s">
        <v>23</v>
      </c>
    </row>
    <row r="16" spans="1:20" ht="15" customHeight="1" x14ac:dyDescent="0.25">
      <c r="B16" s="19"/>
      <c r="C16" s="19"/>
      <c r="D16" s="19"/>
      <c r="E16" s="19"/>
      <c r="F16" s="99"/>
      <c r="G16" s="100" t="s">
        <v>24</v>
      </c>
      <c r="H16" s="99"/>
    </row>
    <row r="17" spans="1:8" ht="22.5" customHeight="1" thickBot="1" x14ac:dyDescent="0.35">
      <c r="B17" s="177"/>
      <c r="C17" s="178"/>
      <c r="D17" s="178"/>
      <c r="E17" s="178"/>
      <c r="F17" s="178"/>
      <c r="G17" s="178"/>
      <c r="H17" s="178"/>
    </row>
    <row r="18" spans="1:8" ht="20.45" customHeight="1" thickBot="1" x14ac:dyDescent="0.3">
      <c r="A18" s="10" t="s">
        <v>25</v>
      </c>
      <c r="B18" s="29" t="s">
        <v>26</v>
      </c>
      <c r="C18" s="30" t="s">
        <v>27</v>
      </c>
      <c r="D18" s="30" t="s">
        <v>28</v>
      </c>
      <c r="E18" s="30" t="s">
        <v>29</v>
      </c>
      <c r="F18" s="30" t="s">
        <v>30</v>
      </c>
      <c r="G18" s="30" t="s">
        <v>31</v>
      </c>
      <c r="H18" s="30" t="s">
        <v>32</v>
      </c>
    </row>
    <row r="19" spans="1:8" ht="42.95" customHeight="1" thickBot="1" x14ac:dyDescent="0.3">
      <c r="B19" s="137"/>
      <c r="C19" s="138"/>
      <c r="D19" s="136"/>
      <c r="E19" s="139"/>
      <c r="F19" s="140"/>
      <c r="G19" s="140"/>
      <c r="H19" s="141">
        <v>0</v>
      </c>
    </row>
    <row r="20" spans="1:8" ht="59.45" customHeight="1" thickTop="1" thickBot="1" x14ac:dyDescent="0.3">
      <c r="B20" s="142"/>
      <c r="C20" s="138"/>
      <c r="D20" s="188"/>
      <c r="E20" s="147"/>
      <c r="F20" s="144"/>
      <c r="G20" s="144"/>
      <c r="H20" s="145"/>
    </row>
    <row r="21" spans="1:8" ht="42.95" customHeight="1" thickTop="1" thickBot="1" x14ac:dyDescent="0.3">
      <c r="B21" s="137"/>
      <c r="C21" s="136"/>
      <c r="D21" s="189"/>
      <c r="E21" s="143"/>
      <c r="F21" s="144"/>
      <c r="G21" s="144"/>
      <c r="H21" s="141"/>
    </row>
    <row r="22" spans="1:8" ht="42.95" customHeight="1" thickTop="1" thickBot="1" x14ac:dyDescent="0.3">
      <c r="B22" s="142"/>
      <c r="C22" s="143"/>
      <c r="D22" s="136"/>
      <c r="E22" s="143"/>
      <c r="F22" s="144"/>
      <c r="G22" s="144"/>
      <c r="H22" s="146"/>
    </row>
    <row r="23" spans="1:8" ht="42.95" customHeight="1" thickTop="1" thickBot="1" x14ac:dyDescent="0.3">
      <c r="B23" s="137"/>
      <c r="C23" s="143"/>
      <c r="D23" s="190"/>
      <c r="E23" s="136"/>
      <c r="F23" s="144"/>
      <c r="G23" s="144"/>
      <c r="H23" s="141"/>
    </row>
    <row r="24" spans="1:8" ht="42.95" customHeight="1" thickTop="1" thickBot="1" x14ac:dyDescent="0.3">
      <c r="B24" s="142"/>
      <c r="C24" s="143"/>
      <c r="D24" s="136"/>
      <c r="E24" s="143"/>
      <c r="F24" s="144"/>
      <c r="G24" s="144"/>
      <c r="H24" s="146"/>
    </row>
    <row r="25" spans="1:8" ht="42.95" customHeight="1" thickTop="1" thickBot="1" x14ac:dyDescent="0.3">
      <c r="B25" s="137"/>
      <c r="C25" s="143"/>
      <c r="D25" s="136"/>
      <c r="E25" s="147"/>
      <c r="F25" s="144"/>
      <c r="G25" s="144"/>
      <c r="H25" s="141"/>
    </row>
    <row r="26" spans="1:8" ht="42.95" customHeight="1" thickTop="1" thickBot="1" x14ac:dyDescent="0.3">
      <c r="B26" s="142"/>
      <c r="C26" s="143"/>
      <c r="D26" s="136"/>
      <c r="E26" s="143"/>
      <c r="F26" s="144"/>
      <c r="G26" s="144"/>
      <c r="H26" s="146"/>
    </row>
    <row r="27" spans="1:8" ht="59.45" customHeight="1" thickTop="1" thickBot="1" x14ac:dyDescent="0.3">
      <c r="B27" s="137"/>
      <c r="C27" s="143"/>
      <c r="D27" s="160"/>
      <c r="E27" s="147"/>
      <c r="F27" s="144"/>
      <c r="G27" s="144"/>
      <c r="H27" s="141"/>
    </row>
    <row r="28" spans="1:8" ht="42.95" customHeight="1" thickTop="1" thickBot="1" x14ac:dyDescent="0.3">
      <c r="B28" s="142"/>
      <c r="C28" s="136"/>
      <c r="D28" s="160"/>
      <c r="E28" s="143"/>
      <c r="F28" s="144"/>
      <c r="G28" s="144"/>
      <c r="H28" s="146"/>
    </row>
    <row r="29" spans="1:8" ht="26.45" customHeight="1" thickTop="1" thickBot="1" x14ac:dyDescent="0.3">
      <c r="B29" s="137"/>
      <c r="C29" s="143"/>
      <c r="D29" s="161"/>
      <c r="E29" s="147"/>
      <c r="F29" s="162"/>
      <c r="G29" s="144"/>
      <c r="H29" s="141"/>
    </row>
    <row r="30" spans="1:8" ht="75.95" customHeight="1" thickTop="1" thickBot="1" x14ac:dyDescent="0.3">
      <c r="B30" s="109"/>
      <c r="C30" s="110"/>
      <c r="D30" s="113"/>
      <c r="E30" s="110"/>
      <c r="F30" s="111"/>
      <c r="G30" s="111"/>
      <c r="H30" s="112"/>
    </row>
    <row r="31" spans="1:8" ht="20.45" customHeight="1" thickTop="1" thickBot="1" x14ac:dyDescent="0.3">
      <c r="B31" s="107"/>
      <c r="C31" s="110"/>
      <c r="D31" s="113"/>
      <c r="E31" s="110"/>
      <c r="F31" s="111"/>
      <c r="G31" s="111"/>
      <c r="H31" s="108"/>
    </row>
    <row r="32" spans="1:8" ht="20.45" customHeight="1" thickTop="1" thickBot="1" x14ac:dyDescent="0.3">
      <c r="B32" s="109"/>
      <c r="C32" s="110"/>
      <c r="D32" s="113"/>
      <c r="E32" s="110"/>
      <c r="F32" s="111"/>
      <c r="G32" s="114"/>
      <c r="H32" s="112"/>
    </row>
    <row r="33" spans="1:20" ht="20.45" customHeight="1" thickTop="1" thickBot="1" x14ac:dyDescent="0.3">
      <c r="B33" s="107"/>
      <c r="C33" s="110"/>
      <c r="D33" s="113"/>
      <c r="E33" s="110"/>
      <c r="F33" s="111"/>
      <c r="G33" s="111"/>
      <c r="H33" s="108"/>
    </row>
    <row r="34" spans="1:20" ht="20.45" customHeight="1" thickTop="1" thickBot="1" x14ac:dyDescent="0.3">
      <c r="B34" s="75"/>
      <c r="C34" s="76"/>
      <c r="D34" s="79"/>
      <c r="E34" s="76"/>
      <c r="F34" s="77"/>
      <c r="G34" s="77"/>
      <c r="H34" s="78"/>
      <c r="L34" s="4"/>
      <c r="M34" s="4"/>
      <c r="N34" s="4"/>
      <c r="O34" s="4"/>
      <c r="P34" s="4"/>
      <c r="Q34" s="4"/>
      <c r="R34" s="4"/>
    </row>
    <row r="35" spans="1:20" ht="20.45" customHeight="1" thickTop="1" thickBot="1" x14ac:dyDescent="0.3">
      <c r="B35" s="73"/>
      <c r="C35" s="76"/>
      <c r="D35" s="79"/>
      <c r="E35" s="76"/>
      <c r="F35" s="77"/>
      <c r="G35" s="77"/>
      <c r="H35" s="74"/>
      <c r="L35" s="4"/>
      <c r="M35" s="4"/>
      <c r="N35" s="4"/>
      <c r="O35" s="4"/>
      <c r="P35" s="4"/>
      <c r="Q35" s="4"/>
      <c r="R35" s="4"/>
    </row>
    <row r="36" spans="1:20" ht="20.45" customHeight="1" thickTop="1" thickBot="1" x14ac:dyDescent="0.3">
      <c r="B36" s="75"/>
      <c r="C36" s="76"/>
      <c r="D36" s="79"/>
      <c r="E36" s="76"/>
      <c r="F36" s="77"/>
      <c r="G36" s="77"/>
      <c r="H36" s="78"/>
      <c r="M36" s="4"/>
      <c r="N36" s="4"/>
      <c r="O36" s="4"/>
      <c r="P36" s="4"/>
      <c r="Q36" s="4"/>
      <c r="R36" s="4"/>
      <c r="S36" s="4"/>
    </row>
    <row r="37" spans="1:20" ht="20.45" customHeight="1" thickTop="1" thickBot="1" x14ac:dyDescent="0.3">
      <c r="B37" s="73"/>
      <c r="C37" s="76"/>
      <c r="D37" s="79"/>
      <c r="E37" s="76"/>
      <c r="F37" s="77"/>
      <c r="G37" s="77"/>
      <c r="H37" s="74"/>
    </row>
    <row r="38" spans="1:20" ht="20.45" customHeight="1" thickTop="1" thickBot="1" x14ac:dyDescent="0.3">
      <c r="B38" s="75"/>
      <c r="C38" s="80"/>
      <c r="D38" s="81"/>
      <c r="E38" s="80"/>
      <c r="F38" s="82"/>
      <c r="G38" s="82"/>
      <c r="H38" s="83"/>
    </row>
    <row r="39" spans="1:20" ht="20.45" hidden="1" customHeight="1" thickTop="1" thickBot="1" x14ac:dyDescent="0.35">
      <c r="B39" s="31"/>
      <c r="C39" s="32"/>
      <c r="D39" s="32"/>
      <c r="E39" s="32"/>
      <c r="F39" s="33"/>
      <c r="G39" s="33"/>
      <c r="H39" s="34" t="str">
        <f>IF(SUM(E39)&gt;0,SUM((E39*F39)-G39),"")</f>
        <v/>
      </c>
      <c r="K39" s="2"/>
      <c r="L39" s="13"/>
      <c r="M39" s="2"/>
      <c r="N39" s="2"/>
      <c r="O39" s="2"/>
      <c r="P39" s="2"/>
      <c r="Q39" s="2"/>
      <c r="R39" s="2"/>
      <c r="S39" s="2"/>
      <c r="T39" s="2"/>
    </row>
    <row r="40" spans="1:20" ht="20.45" hidden="1" customHeight="1" thickTop="1" thickBot="1" x14ac:dyDescent="0.35">
      <c r="B40" s="31"/>
      <c r="C40" s="35"/>
      <c r="D40" s="36"/>
      <c r="E40" s="36"/>
      <c r="F40" s="53"/>
      <c r="G40" s="37"/>
      <c r="H40" s="38">
        <v>0</v>
      </c>
      <c r="K40" s="13"/>
      <c r="L40" s="2"/>
      <c r="M40" s="2"/>
      <c r="N40" s="2"/>
      <c r="O40" s="2"/>
      <c r="P40" s="2"/>
      <c r="Q40" s="2"/>
      <c r="R40" s="2"/>
      <c r="S40" s="2"/>
      <c r="T40" s="2"/>
    </row>
    <row r="41" spans="1:20" ht="20.45" customHeight="1" thickTop="1" thickBot="1" x14ac:dyDescent="0.3">
      <c r="B41" s="36"/>
      <c r="C41" s="36"/>
      <c r="D41" s="36"/>
      <c r="E41" s="36"/>
      <c r="F41" s="54"/>
      <c r="G41" s="37" t="s">
        <v>34</v>
      </c>
      <c r="H41" s="39">
        <v>0</v>
      </c>
    </row>
    <row r="42" spans="1:20" ht="20.45" customHeight="1" thickBot="1" x14ac:dyDescent="0.3">
      <c r="B42" s="36"/>
      <c r="C42" s="36"/>
      <c r="D42" s="36"/>
      <c r="E42" s="36"/>
      <c r="F42" s="180"/>
      <c r="G42" s="181"/>
      <c r="H42" s="38"/>
      <c r="K42" s="6"/>
      <c r="L42" s="6"/>
      <c r="M42" s="6"/>
      <c r="N42" s="6"/>
      <c r="O42" s="6"/>
      <c r="P42" s="6"/>
      <c r="Q42" s="6"/>
      <c r="R42" s="6"/>
      <c r="S42" s="6"/>
      <c r="T42" s="6"/>
    </row>
    <row r="43" spans="1:20" s="2" customFormat="1" ht="20.45" customHeight="1" thickBot="1" x14ac:dyDescent="0.35">
      <c r="A43" s="9"/>
      <c r="B43" s="40"/>
      <c r="C43" s="40"/>
      <c r="D43" s="40"/>
      <c r="E43" s="40"/>
      <c r="F43" s="40"/>
      <c r="G43" s="43" t="s">
        <v>35</v>
      </c>
      <c r="H43" s="39">
        <v>0</v>
      </c>
      <c r="K43" s="1"/>
      <c r="L43" s="1"/>
      <c r="M43" s="1"/>
      <c r="N43" s="1"/>
      <c r="O43" s="1"/>
      <c r="P43" s="1"/>
      <c r="Q43" s="1"/>
      <c r="R43" s="1"/>
      <c r="S43" s="1"/>
      <c r="T43" s="1"/>
    </row>
    <row r="44" spans="1:20" s="2" customFormat="1" ht="22.7" customHeight="1" thickBot="1" x14ac:dyDescent="0.35">
      <c r="A44" s="9"/>
      <c r="B44" s="171" t="s">
        <v>36</v>
      </c>
      <c r="C44" s="169"/>
      <c r="D44" s="168" t="s">
        <v>113</v>
      </c>
      <c r="E44" s="169"/>
      <c r="F44" s="169"/>
      <c r="G44" s="169"/>
      <c r="H44" s="169"/>
      <c r="K44" s="1"/>
      <c r="L44" s="1"/>
      <c r="M44" s="1"/>
      <c r="N44" s="1"/>
      <c r="O44" s="1"/>
      <c r="P44" s="1"/>
      <c r="Q44" s="1"/>
      <c r="R44" s="1"/>
      <c r="S44" s="1"/>
      <c r="T44" s="1"/>
    </row>
    <row r="45" spans="1:20" s="2" customFormat="1" ht="20.45" customHeight="1" x14ac:dyDescent="0.3">
      <c r="A45" s="9"/>
      <c r="B45" s="41"/>
      <c r="C45" s="41"/>
      <c r="D45" s="42"/>
      <c r="E45" s="42"/>
      <c r="F45" s="42"/>
      <c r="G45" s="42"/>
      <c r="H45" s="42"/>
      <c r="K45" s="1"/>
      <c r="L45" s="1"/>
      <c r="M45" s="1"/>
      <c r="N45" s="1"/>
      <c r="O45" s="1"/>
      <c r="P45" s="1"/>
      <c r="Q45" s="1"/>
      <c r="R45" s="1"/>
      <c r="S45" s="1"/>
      <c r="T45" s="1"/>
    </row>
    <row r="46" spans="1:20" s="2" customFormat="1" ht="20.45" customHeight="1" x14ac:dyDescent="0.3">
      <c r="A46" s="9"/>
      <c r="B46" s="166" t="s">
        <v>37</v>
      </c>
      <c r="C46" s="167"/>
      <c r="D46" s="167"/>
      <c r="E46" s="167"/>
      <c r="F46" s="167"/>
      <c r="G46" s="167"/>
      <c r="H46" s="167"/>
      <c r="K46" s="1"/>
      <c r="L46" s="1"/>
      <c r="M46" s="1"/>
      <c r="N46" s="1"/>
      <c r="O46" s="1"/>
      <c r="P46" s="1"/>
      <c r="Q46" s="1"/>
      <c r="R46" s="1"/>
      <c r="S46" s="1"/>
      <c r="T46" s="1"/>
    </row>
    <row r="47" spans="1:20" s="2" customFormat="1" ht="20.45" customHeight="1" x14ac:dyDescent="0.3">
      <c r="A47" s="9"/>
      <c r="B47" s="16"/>
      <c r="C47" s="16"/>
      <c r="D47" s="17"/>
      <c r="E47" s="17"/>
      <c r="F47" s="17"/>
      <c r="G47" s="17"/>
      <c r="H47" s="17"/>
      <c r="K47" s="1"/>
      <c r="L47" s="1"/>
      <c r="M47" s="1"/>
      <c r="N47" s="1"/>
      <c r="O47" s="1"/>
      <c r="P47" s="1"/>
      <c r="Q47" s="1"/>
      <c r="R47" s="1"/>
      <c r="S47" s="1"/>
      <c r="T47" s="1"/>
    </row>
    <row r="48" spans="1:20" s="2" customFormat="1" ht="20.45" customHeight="1" x14ac:dyDescent="0.3">
      <c r="A48" s="9"/>
      <c r="B48" s="16"/>
      <c r="C48" s="16"/>
      <c r="D48" s="17"/>
      <c r="E48" s="17"/>
      <c r="F48" s="17"/>
      <c r="G48" s="17"/>
      <c r="H48" s="17"/>
      <c r="K48" s="1"/>
      <c r="L48" s="1"/>
      <c r="M48" s="1"/>
      <c r="N48" s="1"/>
      <c r="O48" s="1"/>
      <c r="P48" s="1"/>
      <c r="Q48" s="1"/>
      <c r="R48" s="1"/>
      <c r="S48" s="1"/>
      <c r="T48" s="1"/>
    </row>
    <row r="49" spans="1:20" s="2" customFormat="1" ht="20.45" customHeight="1" x14ac:dyDescent="0.3">
      <c r="A49" s="9"/>
      <c r="B49" s="16"/>
      <c r="C49" s="16"/>
      <c r="D49" s="17"/>
      <c r="E49" s="17"/>
      <c r="F49" s="17"/>
      <c r="G49" s="17"/>
      <c r="H49" s="17"/>
      <c r="K49" s="1"/>
      <c r="L49" s="1"/>
      <c r="M49" s="1"/>
      <c r="N49" s="1"/>
      <c r="O49" s="1"/>
      <c r="P49" s="1"/>
      <c r="Q49" s="1"/>
      <c r="R49" s="1"/>
      <c r="S49" s="1"/>
      <c r="T49" s="1"/>
    </row>
    <row r="50" spans="1:20" s="2" customFormat="1" ht="20.45" customHeight="1" x14ac:dyDescent="0.3">
      <c r="A50" s="9"/>
      <c r="B50" s="16"/>
      <c r="C50" s="16"/>
      <c r="D50" s="17"/>
      <c r="E50" s="17"/>
      <c r="F50" s="17"/>
      <c r="G50" s="17"/>
      <c r="H50" s="17"/>
      <c r="K50" s="1"/>
      <c r="L50" s="1"/>
      <c r="M50" s="1"/>
      <c r="N50" s="1"/>
      <c r="O50" s="1"/>
      <c r="P50" s="1"/>
      <c r="Q50" s="1"/>
      <c r="R50" s="1"/>
      <c r="S50" s="1"/>
      <c r="T50" s="1"/>
    </row>
    <row r="51" spans="1:20" ht="20.45" customHeight="1" x14ac:dyDescent="0.25">
      <c r="A51" s="11" t="s">
        <v>38</v>
      </c>
      <c r="B51" s="163"/>
      <c r="C51" s="164"/>
      <c r="D51" s="164"/>
      <c r="E51" s="164"/>
      <c r="F51" s="14"/>
      <c r="G51" s="14"/>
      <c r="H51" s="14"/>
    </row>
    <row r="52" spans="1:20" s="6" customFormat="1" ht="20.45" customHeight="1" x14ac:dyDescent="0.25">
      <c r="A52" s="10" t="s">
        <v>39</v>
      </c>
      <c r="K52" s="1"/>
      <c r="L52" s="1"/>
      <c r="M52" s="1"/>
      <c r="N52" s="1"/>
      <c r="O52" s="1"/>
      <c r="P52" s="1"/>
      <c r="Q52" s="1"/>
      <c r="R52" s="1"/>
      <c r="S52" s="1"/>
      <c r="T52" s="1"/>
    </row>
    <row r="53" spans="1:20" ht="20.45" customHeight="1" x14ac:dyDescent="0.25">
      <c r="A53" s="12" t="s">
        <v>40</v>
      </c>
    </row>
    <row r="56" spans="1:20" x14ac:dyDescent="0.25">
      <c r="B56" s="5"/>
      <c r="C56" s="5"/>
      <c r="D56" s="5"/>
      <c r="E56" s="5"/>
      <c r="F56" s="5"/>
      <c r="G56" s="5"/>
    </row>
    <row r="61" spans="1:20" ht="14.25" customHeight="1" x14ac:dyDescent="0.25">
      <c r="B61" s="165"/>
      <c r="C61" s="164"/>
      <c r="D61" s="164"/>
      <c r="E61" s="164"/>
      <c r="F61" s="164"/>
      <c r="G61" s="164"/>
      <c r="H61" s="164"/>
    </row>
  </sheetData>
  <mergeCells count="15">
    <mergeCell ref="B5:D5"/>
    <mergeCell ref="C6:D6"/>
    <mergeCell ref="C7:D7"/>
    <mergeCell ref="B17:H17"/>
    <mergeCell ref="G5:H5"/>
    <mergeCell ref="F12:H12"/>
    <mergeCell ref="C9:D9"/>
    <mergeCell ref="F13:G13"/>
    <mergeCell ref="B51:E51"/>
    <mergeCell ref="B61:H61"/>
    <mergeCell ref="B46:H46"/>
    <mergeCell ref="D44:H44"/>
    <mergeCell ref="F10:H10"/>
    <mergeCell ref="B44:C44"/>
    <mergeCell ref="F42:G42"/>
  </mergeCells>
  <printOptions horizontalCentered="1"/>
  <pageMargins left="0" right="0" top="0.25" bottom="0" header="0.5" footer="0.5"/>
  <pageSetup paperSize="9" scale="3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locked="0" defaultSize="0" print="0" autoFill="0" autoPict="0" macro="[0]!SavetoPDFInvoice">
                <anchor>
                  <from>
                    <xdr:col>1</xdr:col>
                    <xdr:colOff>342900</xdr:colOff>
                    <xdr:row>0</xdr:row>
                    <xdr:rowOff>123825</xdr:rowOff>
                  </from>
                  <to>
                    <xdr:col>2</xdr:col>
                    <xdr:colOff>352425</xdr:colOff>
                    <xdr:row>2</xdr:row>
                    <xdr:rowOff>85725</xdr:rowOff>
                  </to>
                </anchor>
              </controlPr>
            </control>
          </mc:Choice>
        </mc:AlternateContent>
        <mc:AlternateContent xmlns:mc="http://schemas.openxmlformats.org/markup-compatibility/2006">
          <mc:Choice Requires="x14">
            <control shapeId="1032" r:id="rId5" name="Button 8">
              <controlPr locked="0" defaultSize="0" print="0" autoFill="0" autoPict="0" macro="[0]!Backup_invoice">
                <anchor>
                  <from>
                    <xdr:col>3</xdr:col>
                    <xdr:colOff>19050</xdr:colOff>
                    <xdr:row>0</xdr:row>
                    <xdr:rowOff>114300</xdr:rowOff>
                  </from>
                  <to>
                    <xdr:col>3</xdr:col>
                    <xdr:colOff>838200</xdr:colOff>
                    <xdr:row>2</xdr:row>
                    <xdr:rowOff>38100</xdr:rowOff>
                  </to>
                </anchor>
              </controlPr>
            </control>
          </mc:Choice>
        </mc:AlternateContent>
        <mc:AlternateContent xmlns:mc="http://schemas.openxmlformats.org/markup-compatibility/2006">
          <mc:Choice Requires="x14">
            <control shapeId="1033" r:id="rId6" name="Button 9">
              <controlPr locked="0" defaultSize="0" print="0" autoFill="0" autoPict="0" macro="[0]!Invoice_number">
                <anchor>
                  <from>
                    <xdr:col>2</xdr:col>
                    <xdr:colOff>314325</xdr:colOff>
                    <xdr:row>1</xdr:row>
                    <xdr:rowOff>123825</xdr:rowOff>
                  </from>
                  <to>
                    <xdr:col>2</xdr:col>
                    <xdr:colOff>981075</xdr:colOff>
                    <xdr:row>2</xdr:row>
                    <xdr:rowOff>152400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count="1">
        <x14:dataValidation type="list" allowBlank="1" xr:uid="{00000000-0002-0000-0200-000000000000}">
          <x14:formula1>
            <xm:f>Clients!$A$1:$A$36</xm:f>
          </x14:formula1>
          <xm:sqref>C10 F10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N252"/>
  <sheetViews>
    <sheetView zoomScale="90" zoomScaleNormal="90" workbookViewId="0">
      <pane ySplit="6" topLeftCell="A247" activePane="bottomLeft" state="frozen"/>
      <selection pane="bottomLeft" activeCell="H252" sqref="H252"/>
    </sheetView>
  </sheetViews>
  <sheetFormatPr defaultColWidth="15.140625" defaultRowHeight="21.95" customHeight="1" x14ac:dyDescent="0.35"/>
  <cols>
    <col min="1" max="1" width="11.42578125" style="55" customWidth="1"/>
    <col min="2" max="2" width="11.42578125" style="56" customWidth="1"/>
    <col min="3" max="3" width="30.140625" style="56" customWidth="1"/>
    <col min="4" max="4" width="13" style="56" customWidth="1"/>
    <col min="5" max="5" width="14.5703125" style="56" customWidth="1"/>
    <col min="6" max="6" width="16.140625" style="56" customWidth="1"/>
    <col min="7" max="7" width="13.5703125" style="56" customWidth="1"/>
    <col min="8" max="8" width="14.85546875" style="56" customWidth="1"/>
    <col min="9" max="9" width="1.5703125" style="56" customWidth="1"/>
    <col min="10" max="10" width="13.42578125" style="56" customWidth="1"/>
    <col min="11" max="11" width="12.5703125" style="56" customWidth="1"/>
    <col min="12" max="12" width="13.85546875" style="56" customWidth="1"/>
    <col min="13" max="13" width="13.140625" style="56" customWidth="1"/>
    <col min="14" max="14" width="12.5703125" style="56" customWidth="1"/>
    <col min="15" max="15" width="1.85546875" style="56" customWidth="1"/>
    <col min="16" max="17" width="15.140625" style="56" customWidth="1"/>
    <col min="18" max="16384" width="15.140625" style="56"/>
  </cols>
  <sheetData>
    <row r="1" spans="1:14" ht="7.7" customHeight="1" x14ac:dyDescent="0.35"/>
    <row r="2" spans="1:14" ht="26.25" customHeight="1" x14ac:dyDescent="0.35">
      <c r="M2" s="186" t="s">
        <v>77</v>
      </c>
      <c r="N2" s="187"/>
    </row>
    <row r="3" spans="1:14" ht="31.5" customHeight="1" x14ac:dyDescent="0.35">
      <c r="M3" s="57" t="s">
        <v>78</v>
      </c>
      <c r="N3" s="58">
        <v>0.2</v>
      </c>
    </row>
    <row r="4" spans="1:14" ht="31.5" customHeight="1" x14ac:dyDescent="0.35">
      <c r="M4" s="57" t="s">
        <v>79</v>
      </c>
      <c r="N4" s="59"/>
    </row>
    <row r="5" spans="1:14" ht="21.95" customHeight="1" x14ac:dyDescent="0.35">
      <c r="J5" s="60">
        <v>5.5E-2</v>
      </c>
      <c r="M5" s="61" t="s">
        <v>80</v>
      </c>
      <c r="N5" s="62">
        <f>N4*N3</f>
        <v>0</v>
      </c>
    </row>
    <row r="6" spans="1:14" s="68" customFormat="1" ht="25.7" customHeight="1" x14ac:dyDescent="0.25">
      <c r="A6" s="63" t="s">
        <v>81</v>
      </c>
      <c r="B6" s="64" t="s">
        <v>82</v>
      </c>
      <c r="C6" s="64" t="s">
        <v>83</v>
      </c>
      <c r="D6" s="65" t="s">
        <v>84</v>
      </c>
      <c r="E6" s="66" t="s">
        <v>85</v>
      </c>
      <c r="F6" s="66" t="s">
        <v>86</v>
      </c>
      <c r="G6" s="66" t="s">
        <v>33</v>
      </c>
      <c r="H6" s="66" t="s">
        <v>87</v>
      </c>
      <c r="I6" s="72" t="s">
        <v>17</v>
      </c>
      <c r="J6" s="67" t="s">
        <v>88</v>
      </c>
      <c r="K6" s="67" t="s">
        <v>89</v>
      </c>
      <c r="L6" s="67" t="s">
        <v>90</v>
      </c>
      <c r="M6" s="67" t="s">
        <v>91</v>
      </c>
      <c r="N6" s="67" t="s">
        <v>92</v>
      </c>
    </row>
    <row r="7" spans="1:14" ht="21.95" customHeight="1" x14ac:dyDescent="0.35">
      <c r="A7" s="69">
        <v>45839</v>
      </c>
      <c r="B7" s="70">
        <v>3001</v>
      </c>
      <c r="C7" s="71" t="s">
        <v>44</v>
      </c>
      <c r="D7" s="84">
        <v>299500</v>
      </c>
      <c r="E7" s="84">
        <v>53910</v>
      </c>
      <c r="F7" s="84">
        <v>352910</v>
      </c>
      <c r="G7" s="84">
        <v>500</v>
      </c>
      <c r="H7" s="84">
        <v>352910</v>
      </c>
      <c r="I7" s="85"/>
      <c r="J7" s="86">
        <f>Table6[[#This Row],[Total Value Including Tax]]*$J$5</f>
        <v>19410.05</v>
      </c>
      <c r="K7" s="86">
        <f>Table6[[#This Row],[Total Value Including Tax]]-Table6[[#This Row],[Less GST Tax @5.5%]]</f>
        <v>333499.95</v>
      </c>
      <c r="L7" s="86">
        <f>Table6[[#This Row],[Remaining Value]]-Table6[[#This Row],[Add GST Tax @18% Full]]</f>
        <v>279589.95</v>
      </c>
      <c r="M7" s="86"/>
      <c r="N7" s="86">
        <f>Table6[[#This Row],[Less GST Tax @18% Value]]-Table6[[#This Row],[Transfer Amount]]</f>
        <v>279589.95</v>
      </c>
    </row>
    <row r="8" spans="1:14" ht="21.95" customHeight="1" x14ac:dyDescent="0.35">
      <c r="A8" s="69">
        <v>45840</v>
      </c>
      <c r="B8" s="70">
        <v>9021</v>
      </c>
      <c r="C8" s="71" t="s">
        <v>46</v>
      </c>
      <c r="D8" s="84">
        <v>14700</v>
      </c>
      <c r="E8" s="84">
        <v>0</v>
      </c>
      <c r="F8" s="84">
        <v>14700</v>
      </c>
      <c r="G8" s="84">
        <v>0</v>
      </c>
      <c r="H8" s="84">
        <v>14700</v>
      </c>
      <c r="I8" s="85"/>
      <c r="J8" s="86">
        <f>Table6[[#This Row],[Total Value Including Tax]]*$J$5</f>
        <v>808.5</v>
      </c>
      <c r="K8" s="86">
        <f>Table6[[#This Row],[Total Value Including Tax]]-Table6[[#This Row],[Less GST Tax @5.5%]]</f>
        <v>13891.5</v>
      </c>
      <c r="L8" s="86">
        <f>Table6[[#This Row],[Remaining Value]]-Table6[[#This Row],[Add GST Tax @18% Full]]</f>
        <v>13891.5</v>
      </c>
      <c r="M8" s="86"/>
      <c r="N8" s="86">
        <f>Table6[[#This Row],[Less GST Tax @18% Value]]-Table6[[#This Row],[Transfer Amount]]</f>
        <v>13891.5</v>
      </c>
    </row>
    <row r="9" spans="1:14" ht="21.95" customHeight="1" x14ac:dyDescent="0.35">
      <c r="A9" s="69">
        <v>45841</v>
      </c>
      <c r="B9" s="70">
        <v>3023</v>
      </c>
      <c r="C9" s="71" t="s">
        <v>46</v>
      </c>
      <c r="D9" s="84">
        <v>26750</v>
      </c>
      <c r="E9" s="84">
        <v>0</v>
      </c>
      <c r="F9" s="84">
        <v>26750</v>
      </c>
      <c r="G9" s="84">
        <v>0</v>
      </c>
      <c r="H9" s="84">
        <v>26750</v>
      </c>
      <c r="I9" s="85"/>
      <c r="J9" s="86">
        <f>Table6[[#This Row],[Total Value Including Tax]]*$J$5</f>
        <v>1471.25</v>
      </c>
      <c r="K9" s="86">
        <f>Table6[[#This Row],[Total Value Including Tax]]-Table6[[#This Row],[Less GST Tax @5.5%]]</f>
        <v>25278.75</v>
      </c>
      <c r="L9" s="86">
        <f>Table6[[#This Row],[Remaining Value]]-Table6[[#This Row],[Add GST Tax @18% Full]]</f>
        <v>25278.75</v>
      </c>
      <c r="M9" s="86"/>
      <c r="N9" s="86">
        <f>Table6[[#This Row],[Less GST Tax @18% Value]]-Table6[[#This Row],[Transfer Amount]]</f>
        <v>25278.75</v>
      </c>
    </row>
    <row r="10" spans="1:14" ht="21.95" customHeight="1" x14ac:dyDescent="0.35">
      <c r="A10" s="69">
        <v>45841</v>
      </c>
      <c r="B10" s="70">
        <v>3024</v>
      </c>
      <c r="C10" s="71" t="s">
        <v>93</v>
      </c>
      <c r="D10" s="84">
        <v>284000</v>
      </c>
      <c r="E10" s="84">
        <v>0</v>
      </c>
      <c r="F10" s="84">
        <v>284000</v>
      </c>
      <c r="G10" s="84">
        <v>0</v>
      </c>
      <c r="H10" s="84">
        <v>284000</v>
      </c>
      <c r="I10" s="85"/>
      <c r="J10" s="86">
        <f>Table6[[#This Row],[Total Value Including Tax]]*$J$5</f>
        <v>15620</v>
      </c>
      <c r="K10" s="86">
        <f>Table6[[#This Row],[Total Value Including Tax]]-Table6[[#This Row],[Less GST Tax @5.5%]]</f>
        <v>268380</v>
      </c>
      <c r="L10" s="86">
        <f>Table6[[#This Row],[Remaining Value]]-Table6[[#This Row],[Add GST Tax @18% Full]]</f>
        <v>268380</v>
      </c>
      <c r="M10" s="86"/>
      <c r="N10" s="86">
        <f>Table6[[#This Row],[Less GST Tax @18% Value]]-Table6[[#This Row],[Transfer Amount]]</f>
        <v>268380</v>
      </c>
    </row>
    <row r="11" spans="1:14" ht="21.95" customHeight="1" x14ac:dyDescent="0.35">
      <c r="A11" s="69">
        <v>45845</v>
      </c>
      <c r="B11" s="70">
        <v>3025</v>
      </c>
      <c r="C11" s="71" t="s">
        <v>94</v>
      </c>
      <c r="D11" s="84">
        <v>4500</v>
      </c>
      <c r="E11" s="84">
        <v>0</v>
      </c>
      <c r="F11" s="84">
        <v>4500</v>
      </c>
      <c r="G11" s="84">
        <v>0</v>
      </c>
      <c r="H11" s="84">
        <v>4500</v>
      </c>
      <c r="I11" s="85"/>
      <c r="J11" s="86">
        <f>Table6[[#This Row],[Total Value Including Tax]]*$J$5</f>
        <v>247.5</v>
      </c>
      <c r="K11" s="86">
        <f>Table6[[#This Row],[Total Value Including Tax]]-Table6[[#This Row],[Less GST Tax @5.5%]]</f>
        <v>4252.5</v>
      </c>
      <c r="L11" s="86">
        <f>Table6[[#This Row],[Remaining Value]]-Table6[[#This Row],[Add GST Tax @18% Full]]</f>
        <v>4252.5</v>
      </c>
      <c r="M11" s="86"/>
      <c r="N11" s="86">
        <f>Table6[[#This Row],[Less GST Tax @18% Value]]-Table6[[#This Row],[Transfer Amount]]</f>
        <v>4252.5</v>
      </c>
    </row>
    <row r="12" spans="1:14" ht="21.95" customHeight="1" x14ac:dyDescent="0.35">
      <c r="A12" s="69">
        <v>45846</v>
      </c>
      <c r="B12" s="70">
        <v>9020</v>
      </c>
      <c r="C12" s="71" t="s">
        <v>94</v>
      </c>
      <c r="D12" s="84">
        <v>254497</v>
      </c>
      <c r="E12" s="84">
        <v>0</v>
      </c>
      <c r="F12" s="84">
        <v>254497</v>
      </c>
      <c r="G12" s="84">
        <v>0</v>
      </c>
      <c r="H12" s="84">
        <v>254497</v>
      </c>
      <c r="I12" s="85"/>
      <c r="J12" s="86">
        <f>Table6[[#This Row],[Total Value Including Tax]]*$J$5</f>
        <v>13997.335000000001</v>
      </c>
      <c r="K12" s="86">
        <f>Table6[[#This Row],[Total Value Including Tax]]-Table6[[#This Row],[Less GST Tax @5.5%]]</f>
        <v>240499.66500000001</v>
      </c>
      <c r="L12" s="86">
        <f>Table6[[#This Row],[Remaining Value]]-Table6[[#This Row],[Add GST Tax @18% Full]]</f>
        <v>240499.66500000001</v>
      </c>
      <c r="M12" s="86"/>
      <c r="N12" s="86">
        <f>Table6[[#This Row],[Less GST Tax @18% Value]]-Table6[[#This Row],[Transfer Amount]]</f>
        <v>240499.66500000001</v>
      </c>
    </row>
    <row r="13" spans="1:14" ht="21.95" customHeight="1" x14ac:dyDescent="0.35">
      <c r="A13" s="69">
        <v>45847</v>
      </c>
      <c r="B13" s="70">
        <v>9035</v>
      </c>
      <c r="C13" s="71" t="s">
        <v>46</v>
      </c>
      <c r="D13" s="84">
        <v>14841</v>
      </c>
      <c r="E13" s="84">
        <v>0</v>
      </c>
      <c r="F13" s="84">
        <v>14841</v>
      </c>
      <c r="G13" s="84">
        <v>0</v>
      </c>
      <c r="H13" s="84">
        <v>14841</v>
      </c>
      <c r="I13" s="85"/>
      <c r="J13" s="86">
        <f>Table6[[#This Row],[Total Value Including Tax]]*$J$5</f>
        <v>816.255</v>
      </c>
      <c r="K13" s="86">
        <f>Table6[[#This Row],[Total Value Including Tax]]-Table6[[#This Row],[Less GST Tax @5.5%]]</f>
        <v>14024.745000000001</v>
      </c>
      <c r="L13" s="86">
        <f>Table6[[#This Row],[Remaining Value]]-Table6[[#This Row],[Add GST Tax @18% Full]]</f>
        <v>14024.745000000001</v>
      </c>
      <c r="M13" s="86"/>
      <c r="N13" s="86">
        <f>Table6[[#This Row],[Less GST Tax @18% Value]]-Table6[[#This Row],[Transfer Amount]]</f>
        <v>14024.745000000001</v>
      </c>
    </row>
    <row r="14" spans="1:14" ht="21.95" customHeight="1" x14ac:dyDescent="0.35">
      <c r="A14" s="87">
        <v>45847</v>
      </c>
      <c r="B14" s="88">
        <v>9036</v>
      </c>
      <c r="C14" s="89" t="s">
        <v>95</v>
      </c>
      <c r="D14" s="90">
        <v>13000</v>
      </c>
      <c r="E14" s="90">
        <v>0</v>
      </c>
      <c r="F14" s="90">
        <v>13000</v>
      </c>
      <c r="G14" s="90">
        <v>0</v>
      </c>
      <c r="H14" s="90">
        <v>13000</v>
      </c>
      <c r="I14" s="91"/>
      <c r="J14" s="92">
        <f>Table6[[#This Row],[Total Value Including Tax]]*$J$5</f>
        <v>715</v>
      </c>
      <c r="K14" s="92">
        <f>Table6[[#This Row],[Total Value Including Tax]]-Table6[[#This Row],[Less GST Tax @5.5%]]</f>
        <v>12285</v>
      </c>
      <c r="L14" s="92">
        <f>Table6[[#This Row],[Remaining Value]]-Table6[[#This Row],[Add GST Tax @18% Full]]</f>
        <v>12285</v>
      </c>
      <c r="M14" s="92"/>
      <c r="N14" s="92">
        <f>Table6[[#This Row],[Less GST Tax @18% Value]]-Table6[[#This Row],[Transfer Amount]]</f>
        <v>12285</v>
      </c>
    </row>
    <row r="15" spans="1:14" ht="21.95" customHeight="1" x14ac:dyDescent="0.35">
      <c r="A15" s="69">
        <v>45848</v>
      </c>
      <c r="B15" s="70">
        <v>9037</v>
      </c>
      <c r="C15" s="71" t="s">
        <v>96</v>
      </c>
      <c r="D15" s="84">
        <v>744400</v>
      </c>
      <c r="E15" s="84">
        <v>0</v>
      </c>
      <c r="F15" s="84">
        <v>744400</v>
      </c>
      <c r="G15" s="84">
        <v>0</v>
      </c>
      <c r="H15" s="84">
        <v>744400</v>
      </c>
      <c r="I15" s="85"/>
      <c r="J15" s="86">
        <f>Table6[[#This Row],[Total Value Including Tax]]*$J$5</f>
        <v>40942</v>
      </c>
      <c r="K15" s="86">
        <f>Table6[[#This Row],[Total Value Including Tax]]-Table6[[#This Row],[Less GST Tax @5.5%]]</f>
        <v>703458</v>
      </c>
      <c r="L15" s="86">
        <f>Table6[[#This Row],[Remaining Value]]-Table6[[#This Row],[Add GST Tax @18% Full]]</f>
        <v>703458</v>
      </c>
      <c r="M15" s="86"/>
      <c r="N15" s="86">
        <f>Table6[[#This Row],[Less GST Tax @18% Value]]-Table6[[#This Row],[Transfer Amount]]</f>
        <v>703458</v>
      </c>
    </row>
    <row r="16" spans="1:14" ht="21.95" customHeight="1" x14ac:dyDescent="0.35">
      <c r="A16" s="69">
        <v>45848</v>
      </c>
      <c r="B16" s="70">
        <v>9038</v>
      </c>
      <c r="C16" s="71" t="s">
        <v>97</v>
      </c>
      <c r="D16" s="84">
        <v>33500</v>
      </c>
      <c r="E16" s="84">
        <v>0</v>
      </c>
      <c r="F16" s="84">
        <v>33500</v>
      </c>
      <c r="G16" s="84">
        <v>0</v>
      </c>
      <c r="H16" s="84">
        <v>33500</v>
      </c>
      <c r="I16" s="85"/>
      <c r="J16" s="86">
        <f>Table6[[#This Row],[Total Value Including Tax]]*$J$5</f>
        <v>1842.5</v>
      </c>
      <c r="K16" s="86">
        <f>Table6[[#This Row],[Total Value Including Tax]]-Table6[[#This Row],[Less GST Tax @5.5%]]</f>
        <v>31657.5</v>
      </c>
      <c r="L16" s="86">
        <f>Table6[[#This Row],[Remaining Value]]-Table6[[#This Row],[Add GST Tax @18% Full]]</f>
        <v>31657.5</v>
      </c>
      <c r="M16" s="86"/>
      <c r="N16" s="86">
        <f>Table6[[#This Row],[Less GST Tax @18% Value]]-Table6[[#This Row],[Transfer Amount]]</f>
        <v>31657.5</v>
      </c>
    </row>
    <row r="17" spans="1:14" ht="21.95" customHeight="1" x14ac:dyDescent="0.35">
      <c r="A17" s="93">
        <v>45840</v>
      </c>
      <c r="B17" s="94">
        <v>9039</v>
      </c>
      <c r="C17" s="95" t="s">
        <v>97</v>
      </c>
      <c r="D17" s="96">
        <v>9800</v>
      </c>
      <c r="E17" s="96">
        <v>0</v>
      </c>
      <c r="F17" s="96">
        <v>9800</v>
      </c>
      <c r="G17" s="96">
        <v>0</v>
      </c>
      <c r="H17" s="96">
        <v>9800</v>
      </c>
      <c r="I17" s="97"/>
      <c r="J17" s="98">
        <f>Table6[[#This Row],[Total Value Including Tax]]*$J$5</f>
        <v>539</v>
      </c>
      <c r="K17" s="98">
        <f>Table6[[#This Row],[Total Value Including Tax]]-Table6[[#This Row],[Less GST Tax @5.5%]]</f>
        <v>9261</v>
      </c>
      <c r="L17" s="98">
        <f>Table6[[#This Row],[Remaining Value]]-Table6[[#This Row],[Add GST Tax @18% Full]]</f>
        <v>9261</v>
      </c>
      <c r="M17" s="98"/>
      <c r="N17" s="98">
        <f>Table6[[#This Row],[Less GST Tax @18% Value]]-Table6[[#This Row],[Transfer Amount]]</f>
        <v>9261</v>
      </c>
    </row>
    <row r="18" spans="1:14" ht="21.95" customHeight="1" x14ac:dyDescent="0.35">
      <c r="A18" s="69">
        <v>45850</v>
      </c>
      <c r="B18" s="70">
        <v>9040</v>
      </c>
      <c r="C18" s="71" t="s">
        <v>56</v>
      </c>
      <c r="D18" s="84">
        <v>10300</v>
      </c>
      <c r="E18" s="84">
        <v>0</v>
      </c>
      <c r="F18" s="84">
        <v>10300</v>
      </c>
      <c r="G18" s="84">
        <v>0</v>
      </c>
      <c r="H18" s="84">
        <v>10300</v>
      </c>
      <c r="I18" s="85"/>
      <c r="J18" s="86">
        <f>Table6[[#This Row],[Total Value Including Tax]]*$J$5</f>
        <v>566.5</v>
      </c>
      <c r="K18" s="86">
        <f>Table6[[#This Row],[Total Value Including Tax]]-Table6[[#This Row],[Less GST Tax @5.5%]]</f>
        <v>9733.5</v>
      </c>
      <c r="L18" s="86">
        <f>Table6[[#This Row],[Remaining Value]]-Table6[[#This Row],[Add GST Tax @18% Full]]</f>
        <v>9733.5</v>
      </c>
      <c r="M18" s="86"/>
      <c r="N18" s="86">
        <f>Table6[[#This Row],[Less GST Tax @18% Value]]-Table6[[#This Row],[Transfer Amount]]</f>
        <v>9733.5</v>
      </c>
    </row>
    <row r="19" spans="1:14" ht="21.95" customHeight="1" x14ac:dyDescent="0.35">
      <c r="A19" s="69">
        <v>45860</v>
      </c>
      <c r="B19" s="70">
        <v>9041</v>
      </c>
      <c r="C19" s="71" t="s">
        <v>71</v>
      </c>
      <c r="D19" s="84">
        <v>5500</v>
      </c>
      <c r="E19" s="84">
        <v>0</v>
      </c>
      <c r="F19" s="84">
        <v>5500</v>
      </c>
      <c r="G19" s="84">
        <v>0</v>
      </c>
      <c r="H19" s="84">
        <v>5500</v>
      </c>
      <c r="I19" s="85"/>
      <c r="J19" s="86">
        <f>Table6[[#This Row],[Total Value Including Tax]]*$J$5</f>
        <v>302.5</v>
      </c>
      <c r="K19" s="86">
        <f>Table6[[#This Row],[Total Value Including Tax]]-Table6[[#This Row],[Less GST Tax @5.5%]]</f>
        <v>5197.5</v>
      </c>
      <c r="L19" s="86">
        <f>Table6[[#This Row],[Remaining Value]]-Table6[[#This Row],[Add GST Tax @18% Full]]</f>
        <v>5197.5</v>
      </c>
      <c r="M19" s="86"/>
      <c r="N19" s="86">
        <f>Table6[[#This Row],[Less GST Tax @18% Value]]-Table6[[#This Row],[Transfer Amount]]</f>
        <v>5197.5</v>
      </c>
    </row>
    <row r="20" spans="1:14" ht="21.95" customHeight="1" x14ac:dyDescent="0.35">
      <c r="A20" s="69">
        <v>45860</v>
      </c>
      <c r="B20" s="70">
        <v>9042</v>
      </c>
      <c r="C20" s="71" t="s">
        <v>97</v>
      </c>
      <c r="D20" s="84">
        <v>7500</v>
      </c>
      <c r="E20" s="84">
        <v>0</v>
      </c>
      <c r="F20" s="84">
        <v>7500</v>
      </c>
      <c r="G20" s="84">
        <v>0</v>
      </c>
      <c r="H20" s="84">
        <v>7500</v>
      </c>
      <c r="I20" s="85"/>
      <c r="J20" s="86">
        <f>Table6[[#This Row],[Total Value Including Tax]]*$J$5</f>
        <v>412.5</v>
      </c>
      <c r="K20" s="86">
        <f>Table6[[#This Row],[Total Value Including Tax]]-Table6[[#This Row],[Less GST Tax @5.5%]]</f>
        <v>7087.5</v>
      </c>
      <c r="L20" s="86">
        <f>Table6[[#This Row],[Remaining Value]]-Table6[[#This Row],[Add GST Tax @18% Full]]</f>
        <v>7087.5</v>
      </c>
      <c r="M20" s="86"/>
      <c r="N20" s="86">
        <f>Table6[[#This Row],[Less GST Tax @18% Value]]-Table6[[#This Row],[Transfer Amount]]</f>
        <v>7087.5</v>
      </c>
    </row>
    <row r="21" spans="1:14" ht="21.95" customHeight="1" x14ac:dyDescent="0.35">
      <c r="A21" s="69">
        <v>45861</v>
      </c>
      <c r="B21" s="70">
        <v>9043</v>
      </c>
      <c r="C21" s="71" t="s">
        <v>62</v>
      </c>
      <c r="D21" s="84">
        <v>591500</v>
      </c>
      <c r="E21" s="84">
        <v>0</v>
      </c>
      <c r="F21" s="84">
        <v>591500</v>
      </c>
      <c r="G21" s="84">
        <v>0</v>
      </c>
      <c r="H21" s="84">
        <v>591500</v>
      </c>
      <c r="I21" s="85"/>
      <c r="J21" s="86">
        <f>Table6[[#This Row],[Total Value Including Tax]]*$J$5</f>
        <v>32532.5</v>
      </c>
      <c r="K21" s="86">
        <f>Table6[[#This Row],[Total Value Including Tax]]-Table6[[#This Row],[Less GST Tax @5.5%]]</f>
        <v>558967.5</v>
      </c>
      <c r="L21" s="86">
        <f>Table6[[#This Row],[Remaining Value]]-Table6[[#This Row],[Add GST Tax @18% Full]]</f>
        <v>558967.5</v>
      </c>
      <c r="M21" s="86"/>
      <c r="N21" s="86">
        <f>Table6[[#This Row],[Less GST Tax @18% Value]]-Table6[[#This Row],[Transfer Amount]]</f>
        <v>558967.5</v>
      </c>
    </row>
    <row r="22" spans="1:14" ht="21.95" customHeight="1" x14ac:dyDescent="0.35">
      <c r="A22" s="69">
        <v>45861</v>
      </c>
      <c r="B22" s="70">
        <v>9044</v>
      </c>
      <c r="C22" s="71" t="s">
        <v>45</v>
      </c>
      <c r="D22" s="84">
        <v>10000</v>
      </c>
      <c r="E22" s="84">
        <v>0</v>
      </c>
      <c r="F22" s="84">
        <v>10000</v>
      </c>
      <c r="G22" s="84">
        <v>0</v>
      </c>
      <c r="H22" s="84">
        <v>10000</v>
      </c>
      <c r="I22" s="85"/>
      <c r="J22" s="86">
        <f>Table6[[#This Row],[Total Value Including Tax]]*$J$5</f>
        <v>550</v>
      </c>
      <c r="K22" s="86">
        <f>Table6[[#This Row],[Total Value Including Tax]]-Table6[[#This Row],[Less GST Tax @5.5%]]</f>
        <v>9450</v>
      </c>
      <c r="L22" s="86">
        <f>Table6[[#This Row],[Remaining Value]]-Table6[[#This Row],[Add GST Tax @18% Full]]</f>
        <v>9450</v>
      </c>
      <c r="M22" s="86"/>
      <c r="N22" s="86">
        <f>Table6[[#This Row],[Less GST Tax @18% Value]]-Table6[[#This Row],[Transfer Amount]]</f>
        <v>9450</v>
      </c>
    </row>
    <row r="23" spans="1:14" ht="21.95" customHeight="1" x14ac:dyDescent="0.35">
      <c r="A23" s="69">
        <v>45863</v>
      </c>
      <c r="B23" s="70">
        <v>9045</v>
      </c>
      <c r="C23" s="71" t="s">
        <v>61</v>
      </c>
      <c r="D23" s="84">
        <v>19900</v>
      </c>
      <c r="E23" s="84">
        <v>0</v>
      </c>
      <c r="F23" s="84">
        <v>19900</v>
      </c>
      <c r="G23" s="84">
        <v>0</v>
      </c>
      <c r="H23" s="84">
        <v>19900</v>
      </c>
      <c r="I23" s="85"/>
      <c r="J23" s="86">
        <f>Table6[[#This Row],[Total Value Including Tax]]*$J$5</f>
        <v>1094.5</v>
      </c>
      <c r="K23" s="86">
        <f>Table6[[#This Row],[Total Value Including Tax]]-Table6[[#This Row],[Less GST Tax @5.5%]]</f>
        <v>18805.5</v>
      </c>
      <c r="L23" s="86">
        <f>Table6[[#This Row],[Remaining Value]]-Table6[[#This Row],[Add GST Tax @18% Full]]</f>
        <v>18805.5</v>
      </c>
      <c r="M23" s="86"/>
      <c r="N23" s="86">
        <f>Table6[[#This Row],[Less GST Tax @18% Value]]-Table6[[#This Row],[Transfer Amount]]</f>
        <v>18805.5</v>
      </c>
    </row>
    <row r="24" spans="1:14" ht="21.95" customHeight="1" x14ac:dyDescent="0.35">
      <c r="A24" s="69">
        <v>45867</v>
      </c>
      <c r="B24" s="70">
        <v>9046</v>
      </c>
      <c r="C24" s="71" t="s">
        <v>67</v>
      </c>
      <c r="D24" s="84">
        <v>7500</v>
      </c>
      <c r="E24" s="84">
        <v>0</v>
      </c>
      <c r="F24" s="84">
        <v>7500</v>
      </c>
      <c r="G24" s="84">
        <v>0</v>
      </c>
      <c r="H24" s="84">
        <v>7500</v>
      </c>
      <c r="I24" s="85"/>
      <c r="J24" s="86">
        <f>Table6[[#This Row],[Total Value Including Tax]]*$J$5</f>
        <v>412.5</v>
      </c>
      <c r="K24" s="86">
        <f>Table6[[#This Row],[Total Value Including Tax]]-Table6[[#This Row],[Less GST Tax @5.5%]]</f>
        <v>7087.5</v>
      </c>
      <c r="L24" s="86">
        <f>Table6[[#This Row],[Remaining Value]]-Table6[[#This Row],[Add GST Tax @18% Full]]</f>
        <v>7087.5</v>
      </c>
      <c r="M24" s="86"/>
      <c r="N24" s="86">
        <f>Table6[[#This Row],[Less GST Tax @18% Value]]-Table6[[#This Row],[Transfer Amount]]</f>
        <v>7087.5</v>
      </c>
    </row>
    <row r="25" spans="1:14" ht="21.95" customHeight="1" x14ac:dyDescent="0.35">
      <c r="A25" s="69">
        <v>45868</v>
      </c>
      <c r="B25" s="70">
        <v>9047</v>
      </c>
      <c r="C25" s="71" t="s">
        <v>45</v>
      </c>
      <c r="D25" s="84">
        <v>24600</v>
      </c>
      <c r="E25" s="84">
        <v>0</v>
      </c>
      <c r="F25" s="84">
        <v>24600</v>
      </c>
      <c r="G25" s="84">
        <v>0</v>
      </c>
      <c r="H25" s="84">
        <v>24600</v>
      </c>
      <c r="I25" s="85"/>
      <c r="J25" s="86">
        <f>Table6[[#This Row],[Total Value Including Tax]]*$J$5</f>
        <v>1353</v>
      </c>
      <c r="K25" s="86">
        <f>Table6[[#This Row],[Total Value Including Tax]]-Table6[[#This Row],[Less GST Tax @5.5%]]</f>
        <v>23247</v>
      </c>
      <c r="L25" s="86">
        <f>Table6[[#This Row],[Remaining Value]]-Table6[[#This Row],[Add GST Tax @18% Full]]</f>
        <v>23247</v>
      </c>
      <c r="M25" s="86"/>
      <c r="N25" s="86">
        <f>Table6[[#This Row],[Less GST Tax @18% Value]]-Table6[[#This Row],[Transfer Amount]]</f>
        <v>23247</v>
      </c>
    </row>
    <row r="26" spans="1:14" ht="21.95" customHeight="1" x14ac:dyDescent="0.35">
      <c r="A26" s="69">
        <v>45869</v>
      </c>
      <c r="B26" s="70">
        <v>9048</v>
      </c>
      <c r="C26" s="71" t="s">
        <v>98</v>
      </c>
      <c r="D26" s="84">
        <v>5000</v>
      </c>
      <c r="E26" s="84">
        <v>0</v>
      </c>
      <c r="F26" s="84">
        <v>5000</v>
      </c>
      <c r="G26" s="84">
        <v>0</v>
      </c>
      <c r="H26" s="84">
        <v>5000</v>
      </c>
      <c r="I26" s="85"/>
      <c r="J26" s="86">
        <f>Table6[[#This Row],[Total Value Including Tax]]*$J$5</f>
        <v>275</v>
      </c>
      <c r="K26" s="86">
        <f>Table6[[#This Row],[Total Value Including Tax]]-Table6[[#This Row],[Less GST Tax @5.5%]]</f>
        <v>4725</v>
      </c>
      <c r="L26" s="86">
        <f>Table6[[#This Row],[Remaining Value]]-Table6[[#This Row],[Add GST Tax @18% Full]]</f>
        <v>4725</v>
      </c>
      <c r="M26" s="86"/>
      <c r="N26" s="86">
        <f>Table6[[#This Row],[Less GST Tax @18% Value]]-Table6[[#This Row],[Transfer Amount]]</f>
        <v>4725</v>
      </c>
    </row>
    <row r="27" spans="1:14" ht="21.95" customHeight="1" x14ac:dyDescent="0.35">
      <c r="A27" s="69">
        <v>45869</v>
      </c>
      <c r="B27" s="70">
        <v>9049</v>
      </c>
      <c r="C27" s="71" t="s">
        <v>97</v>
      </c>
      <c r="D27" s="84">
        <v>10000</v>
      </c>
      <c r="E27" s="84">
        <v>0</v>
      </c>
      <c r="F27" s="84">
        <v>10000</v>
      </c>
      <c r="G27" s="84">
        <v>0</v>
      </c>
      <c r="H27" s="84">
        <v>10000</v>
      </c>
      <c r="I27" s="85"/>
      <c r="J27" s="86">
        <f>Table6[[#This Row],[Total Value Including Tax]]*$J$5</f>
        <v>550</v>
      </c>
      <c r="K27" s="86">
        <f>Table6[[#This Row],[Total Value Including Tax]]-Table6[[#This Row],[Less GST Tax @5.5%]]</f>
        <v>9450</v>
      </c>
      <c r="L27" s="86">
        <f>Table6[[#This Row],[Remaining Value]]-Table6[[#This Row],[Add GST Tax @18% Full]]</f>
        <v>9450</v>
      </c>
      <c r="M27" s="86"/>
      <c r="N27" s="86">
        <f>Table6[[#This Row],[Less GST Tax @18% Value]]-Table6[[#This Row],[Transfer Amount]]</f>
        <v>9450</v>
      </c>
    </row>
    <row r="28" spans="1:14" ht="21.95" customHeight="1" x14ac:dyDescent="0.35">
      <c r="A28" s="69">
        <v>45870</v>
      </c>
      <c r="B28" s="70">
        <v>9050</v>
      </c>
      <c r="C28" s="71" t="s">
        <v>55</v>
      </c>
      <c r="D28" s="84">
        <v>185000</v>
      </c>
      <c r="E28" s="84">
        <v>0</v>
      </c>
      <c r="F28" s="84">
        <v>185000</v>
      </c>
      <c r="G28" s="84">
        <v>0</v>
      </c>
      <c r="H28" s="84">
        <v>185000</v>
      </c>
      <c r="I28" s="85"/>
      <c r="J28" s="86">
        <f>Table6[[#This Row],[Total Value Including Tax]]*$J$5</f>
        <v>10175</v>
      </c>
      <c r="K28" s="86">
        <f>Table6[[#This Row],[Total Value Including Tax]]-Table6[[#This Row],[Less GST Tax @5.5%]]</f>
        <v>174825</v>
      </c>
      <c r="L28" s="86">
        <f>Table6[[#This Row],[Remaining Value]]-Table6[[#This Row],[Add GST Tax @18% Full]]</f>
        <v>174825</v>
      </c>
      <c r="M28" s="86"/>
      <c r="N28" s="86">
        <f>Table6[[#This Row],[Less GST Tax @18% Value]]-Table6[[#This Row],[Transfer Amount]]</f>
        <v>174825</v>
      </c>
    </row>
    <row r="29" spans="1:14" ht="21.95" customHeight="1" x14ac:dyDescent="0.35">
      <c r="A29" s="69">
        <v>45873</v>
      </c>
      <c r="B29" s="70">
        <v>9051</v>
      </c>
      <c r="C29" s="71" t="s">
        <v>45</v>
      </c>
      <c r="D29" s="84">
        <v>25800</v>
      </c>
      <c r="E29" s="84">
        <v>0</v>
      </c>
      <c r="F29" s="84">
        <v>25800</v>
      </c>
      <c r="G29" s="84">
        <v>0</v>
      </c>
      <c r="H29" s="84">
        <v>25800</v>
      </c>
      <c r="I29" s="85"/>
      <c r="J29" s="86">
        <f>Table6[[#This Row],[Total Value Including Tax]]*$J$5</f>
        <v>1419</v>
      </c>
      <c r="K29" s="86">
        <f>Table6[[#This Row],[Total Value Including Tax]]-Table6[[#This Row],[Less GST Tax @5.5%]]</f>
        <v>24381</v>
      </c>
      <c r="L29" s="86">
        <f>Table6[[#This Row],[Remaining Value]]-Table6[[#This Row],[Add GST Tax @18% Full]]</f>
        <v>24381</v>
      </c>
      <c r="M29" s="86"/>
      <c r="N29" s="86">
        <f>Table6[[#This Row],[Less GST Tax @18% Value]]-Table6[[#This Row],[Transfer Amount]]</f>
        <v>24381</v>
      </c>
    </row>
    <row r="30" spans="1:14" ht="21.95" customHeight="1" x14ac:dyDescent="0.35">
      <c r="A30" s="69">
        <v>45875</v>
      </c>
      <c r="B30" s="70">
        <v>9052</v>
      </c>
      <c r="C30" s="71" t="s">
        <v>45</v>
      </c>
      <c r="D30" s="84">
        <v>4800</v>
      </c>
      <c r="E30" s="84">
        <v>0</v>
      </c>
      <c r="F30" s="84">
        <v>4800</v>
      </c>
      <c r="G30" s="84">
        <v>0</v>
      </c>
      <c r="H30" s="84">
        <v>4800</v>
      </c>
      <c r="I30" s="85"/>
      <c r="J30" s="86">
        <f>Table6[[#This Row],[Total Value Including Tax]]*$J$5</f>
        <v>264</v>
      </c>
      <c r="K30" s="86">
        <f>Table6[[#This Row],[Total Value Including Tax]]-Table6[[#This Row],[Less GST Tax @5.5%]]</f>
        <v>4536</v>
      </c>
      <c r="L30" s="86">
        <f>Table6[[#This Row],[Remaining Value]]-Table6[[#This Row],[Add GST Tax @18% Full]]</f>
        <v>4536</v>
      </c>
      <c r="M30" s="86"/>
      <c r="N30" s="86">
        <f>Table6[[#This Row],[Less GST Tax @18% Value]]-Table6[[#This Row],[Transfer Amount]]</f>
        <v>4536</v>
      </c>
    </row>
    <row r="31" spans="1:14" ht="21.95" customHeight="1" x14ac:dyDescent="0.35">
      <c r="A31" s="101">
        <v>45881</v>
      </c>
      <c r="B31" s="102">
        <v>9053</v>
      </c>
      <c r="C31" s="103" t="s">
        <v>44</v>
      </c>
      <c r="D31" s="104">
        <v>14286</v>
      </c>
      <c r="E31" s="104">
        <v>0</v>
      </c>
      <c r="F31" s="104">
        <v>14286</v>
      </c>
      <c r="G31" s="104">
        <v>0</v>
      </c>
      <c r="H31" s="104">
        <v>14286</v>
      </c>
      <c r="I31" s="105"/>
      <c r="J31" s="106">
        <f>Table6[[#This Row],[Total Value Including Tax]]*$J$5</f>
        <v>785.73</v>
      </c>
      <c r="K31" s="106">
        <f>Table6[[#This Row],[Total Value Including Tax]]-Table6[[#This Row],[Less GST Tax @5.5%]]</f>
        <v>13500.27</v>
      </c>
      <c r="L31" s="106">
        <f>Table6[[#This Row],[Remaining Value]]-Table6[[#This Row],[Add GST Tax @18% Full]]</f>
        <v>13500.27</v>
      </c>
      <c r="M31" s="106"/>
      <c r="N31" s="106">
        <f>Table6[[#This Row],[Less GST Tax @18% Value]]-Table6[[#This Row],[Transfer Amount]]</f>
        <v>13500.27</v>
      </c>
    </row>
    <row r="32" spans="1:14" ht="21.95" customHeight="1" x14ac:dyDescent="0.35">
      <c r="A32" s="101">
        <v>45881</v>
      </c>
      <c r="B32" s="102">
        <v>9054</v>
      </c>
      <c r="C32" s="103" t="s">
        <v>44</v>
      </c>
      <c r="D32" s="104">
        <v>268720</v>
      </c>
      <c r="E32" s="104">
        <v>0</v>
      </c>
      <c r="F32" s="104">
        <v>268720</v>
      </c>
      <c r="G32" s="104">
        <v>0</v>
      </c>
      <c r="H32" s="104">
        <v>268720</v>
      </c>
      <c r="I32" s="105"/>
      <c r="J32" s="106">
        <f>Table6[[#This Row],[Total Value Including Tax]]*$J$5</f>
        <v>14779.6</v>
      </c>
      <c r="K32" s="106">
        <f>Table6[[#This Row],[Total Value Including Tax]]-Table6[[#This Row],[Less GST Tax @5.5%]]</f>
        <v>253940.4</v>
      </c>
      <c r="L32" s="106">
        <f>Table6[[#This Row],[Remaining Value]]-Table6[[#This Row],[Add GST Tax @18% Full]]</f>
        <v>253940.4</v>
      </c>
      <c r="M32" s="106"/>
      <c r="N32" s="106">
        <f>Table6[[#This Row],[Less GST Tax @18% Value]]-Table6[[#This Row],[Transfer Amount]]</f>
        <v>253940.4</v>
      </c>
    </row>
    <row r="33" spans="1:14" ht="21.95" customHeight="1" x14ac:dyDescent="0.35">
      <c r="A33" s="101">
        <v>45882</v>
      </c>
      <c r="B33" s="102">
        <v>9055</v>
      </c>
      <c r="C33" s="103" t="s">
        <v>99</v>
      </c>
      <c r="D33" s="104">
        <v>2400</v>
      </c>
      <c r="E33" s="104">
        <v>0</v>
      </c>
      <c r="F33" s="104">
        <v>2400</v>
      </c>
      <c r="G33" s="104">
        <v>0</v>
      </c>
      <c r="H33" s="104">
        <v>2400</v>
      </c>
      <c r="I33" s="105"/>
      <c r="J33" s="106">
        <f>Table6[[#This Row],[Total Value Including Tax]]*$J$5</f>
        <v>132</v>
      </c>
      <c r="K33" s="106">
        <f>Table6[[#This Row],[Total Value Including Tax]]-Table6[[#This Row],[Less GST Tax @5.5%]]</f>
        <v>2268</v>
      </c>
      <c r="L33" s="106">
        <f>Table6[[#This Row],[Remaining Value]]-Table6[[#This Row],[Add GST Tax @18% Full]]</f>
        <v>2268</v>
      </c>
      <c r="M33" s="106"/>
      <c r="N33" s="106">
        <f>Table6[[#This Row],[Less GST Tax @18% Value]]-Table6[[#This Row],[Transfer Amount]]</f>
        <v>2268</v>
      </c>
    </row>
    <row r="34" spans="1:14" ht="21.95" customHeight="1" x14ac:dyDescent="0.35">
      <c r="A34" s="69">
        <v>45887</v>
      </c>
      <c r="B34" s="70">
        <v>9056</v>
      </c>
      <c r="C34" s="71" t="s">
        <v>58</v>
      </c>
      <c r="D34" s="84">
        <v>141150</v>
      </c>
      <c r="E34" s="84">
        <v>0</v>
      </c>
      <c r="F34" s="84">
        <v>141150</v>
      </c>
      <c r="G34" s="84">
        <v>0</v>
      </c>
      <c r="H34" s="84">
        <v>141150</v>
      </c>
      <c r="I34" s="85"/>
      <c r="J34" s="86">
        <f>Table6[[#This Row],[Total Value Including Tax]]*$J$5</f>
        <v>7763.25</v>
      </c>
      <c r="K34" s="86">
        <f>Table6[[#This Row],[Total Value Including Tax]]-Table6[[#This Row],[Less GST Tax @5.5%]]</f>
        <v>133386.75</v>
      </c>
      <c r="L34" s="86">
        <f>Table6[[#This Row],[Remaining Value]]-Table6[[#This Row],[Add GST Tax @18% Full]]</f>
        <v>133386.75</v>
      </c>
      <c r="M34" s="86"/>
      <c r="N34" s="86">
        <f>Table6[[#This Row],[Less GST Tax @18% Value]]-Table6[[#This Row],[Transfer Amount]]</f>
        <v>133386.75</v>
      </c>
    </row>
    <row r="35" spans="1:14" ht="21.95" customHeight="1" x14ac:dyDescent="0.35">
      <c r="A35" s="69">
        <v>45887</v>
      </c>
      <c r="B35" s="70">
        <v>9057</v>
      </c>
      <c r="C35" s="71" t="s">
        <v>96</v>
      </c>
      <c r="D35" s="84">
        <v>45450</v>
      </c>
      <c r="E35" s="84">
        <v>0</v>
      </c>
      <c r="F35" s="84">
        <v>45450</v>
      </c>
      <c r="G35" s="84">
        <v>0</v>
      </c>
      <c r="H35" s="84">
        <v>45450</v>
      </c>
      <c r="I35" s="85"/>
      <c r="J35" s="86">
        <f>Table6[[#This Row],[Total Value Including Tax]]*$J$5</f>
        <v>2499.75</v>
      </c>
      <c r="K35" s="86">
        <f>Table6[[#This Row],[Total Value Including Tax]]-Table6[[#This Row],[Less GST Tax @5.5%]]</f>
        <v>42950.25</v>
      </c>
      <c r="L35" s="86">
        <f>Table6[[#This Row],[Remaining Value]]-Table6[[#This Row],[Add GST Tax @18% Full]]</f>
        <v>42950.25</v>
      </c>
      <c r="M35" s="86"/>
      <c r="N35" s="86">
        <f>Table6[[#This Row],[Less GST Tax @18% Value]]-Table6[[#This Row],[Transfer Amount]]</f>
        <v>42950.25</v>
      </c>
    </row>
    <row r="36" spans="1:14" ht="21.95" customHeight="1" x14ac:dyDescent="0.35">
      <c r="A36" s="69">
        <v>45890</v>
      </c>
      <c r="B36" s="70">
        <v>9058</v>
      </c>
      <c r="C36" s="71" t="s">
        <v>100</v>
      </c>
      <c r="D36" s="84">
        <v>11500</v>
      </c>
      <c r="E36" s="84">
        <v>0</v>
      </c>
      <c r="F36" s="84">
        <v>11500</v>
      </c>
      <c r="G36" s="84">
        <v>0</v>
      </c>
      <c r="H36" s="84">
        <v>11500</v>
      </c>
      <c r="I36" s="85"/>
      <c r="J36" s="86">
        <f>Table6[[#This Row],[Total Value Including Tax]]*$J$5</f>
        <v>632.5</v>
      </c>
      <c r="K36" s="86">
        <f>Table6[[#This Row],[Total Value Including Tax]]-Table6[[#This Row],[Less GST Tax @5.5%]]</f>
        <v>10867.5</v>
      </c>
      <c r="L36" s="86">
        <f>Table6[[#This Row],[Remaining Value]]-Table6[[#This Row],[Add GST Tax @18% Full]]</f>
        <v>10867.5</v>
      </c>
      <c r="M36" s="86"/>
      <c r="N36" s="86">
        <f>Table6[[#This Row],[Less GST Tax @18% Value]]-Table6[[#This Row],[Transfer Amount]]</f>
        <v>10867.5</v>
      </c>
    </row>
    <row r="37" spans="1:14" ht="21.95" customHeight="1" x14ac:dyDescent="0.35">
      <c r="A37" s="101">
        <v>45890</v>
      </c>
      <c r="B37" s="102">
        <v>9059</v>
      </c>
      <c r="C37" s="103" t="s">
        <v>100</v>
      </c>
      <c r="D37" s="104">
        <v>21300</v>
      </c>
      <c r="E37" s="104">
        <v>0</v>
      </c>
      <c r="F37" s="104">
        <v>21300</v>
      </c>
      <c r="G37" s="104">
        <v>0</v>
      </c>
      <c r="H37" s="104">
        <v>21300</v>
      </c>
      <c r="I37" s="105"/>
      <c r="J37" s="106">
        <f>Table6[[#This Row],[Total Value Including Tax]]*$J$5</f>
        <v>1171.5</v>
      </c>
      <c r="K37" s="106">
        <f>Table6[[#This Row],[Total Value Including Tax]]-Table6[[#This Row],[Less GST Tax @5.5%]]</f>
        <v>20128.5</v>
      </c>
      <c r="L37" s="106">
        <f>Table6[[#This Row],[Remaining Value]]-Table6[[#This Row],[Add GST Tax @18% Full]]</f>
        <v>20128.5</v>
      </c>
      <c r="M37" s="106"/>
      <c r="N37" s="106">
        <f>Table6[[#This Row],[Less GST Tax @18% Value]]-Table6[[#This Row],[Transfer Amount]]</f>
        <v>20128.5</v>
      </c>
    </row>
    <row r="38" spans="1:14" ht="21.95" customHeight="1" x14ac:dyDescent="0.35">
      <c r="A38" s="69">
        <v>45890</v>
      </c>
      <c r="B38" s="70">
        <v>9060</v>
      </c>
      <c r="C38" s="71" t="s">
        <v>101</v>
      </c>
      <c r="D38" s="84">
        <v>2077760</v>
      </c>
      <c r="E38" s="84">
        <v>0</v>
      </c>
      <c r="F38" s="84">
        <v>2077760</v>
      </c>
      <c r="G38" s="84">
        <v>0</v>
      </c>
      <c r="H38" s="84">
        <v>2077760</v>
      </c>
      <c r="I38" s="85"/>
      <c r="J38" s="86">
        <f>Table6[[#This Row],[Total Value Including Tax]]*$J$5</f>
        <v>114276.8</v>
      </c>
      <c r="K38" s="86">
        <f>Table6[[#This Row],[Total Value Including Tax]]-Table6[[#This Row],[Less GST Tax @5.5%]]</f>
        <v>1963483.2</v>
      </c>
      <c r="L38" s="86">
        <f>Table6[[#This Row],[Remaining Value]]-Table6[[#This Row],[Add GST Tax @18% Full]]</f>
        <v>1963483.2</v>
      </c>
      <c r="M38" s="86"/>
      <c r="N38" s="86">
        <f>Table6[[#This Row],[Less GST Tax @18% Value]]-Table6[[#This Row],[Transfer Amount]]</f>
        <v>1963483.2</v>
      </c>
    </row>
    <row r="39" spans="1:14" ht="21.95" customHeight="1" x14ac:dyDescent="0.35">
      <c r="A39" s="101">
        <v>45895</v>
      </c>
      <c r="B39" s="102">
        <v>9065</v>
      </c>
      <c r="C39" s="103" t="s">
        <v>97</v>
      </c>
      <c r="D39" s="104">
        <v>9800</v>
      </c>
      <c r="E39" s="104">
        <v>0</v>
      </c>
      <c r="F39" s="104">
        <v>9800</v>
      </c>
      <c r="G39" s="104">
        <v>0</v>
      </c>
      <c r="H39" s="104">
        <v>9800</v>
      </c>
      <c r="I39" s="105"/>
      <c r="J39" s="106">
        <f>Table6[[#This Row],[Total Value Including Tax]]*$J$5</f>
        <v>539</v>
      </c>
      <c r="K39" s="106">
        <f>Table6[[#This Row],[Total Value Including Tax]]-Table6[[#This Row],[Less GST Tax @5.5%]]</f>
        <v>9261</v>
      </c>
      <c r="L39" s="106">
        <f>Table6[[#This Row],[Remaining Value]]-Table6[[#This Row],[Add GST Tax @18% Full]]</f>
        <v>9261</v>
      </c>
      <c r="M39" s="106"/>
      <c r="N39" s="106">
        <f>Table6[[#This Row],[Less GST Tax @18% Value]]-Table6[[#This Row],[Transfer Amount]]</f>
        <v>9261</v>
      </c>
    </row>
    <row r="40" spans="1:14" ht="21.95" customHeight="1" x14ac:dyDescent="0.35">
      <c r="A40" s="101">
        <v>45895</v>
      </c>
      <c r="B40" s="102">
        <v>9066</v>
      </c>
      <c r="C40" s="103" t="s">
        <v>66</v>
      </c>
      <c r="D40" s="104">
        <v>6500</v>
      </c>
      <c r="E40" s="104">
        <v>0</v>
      </c>
      <c r="F40" s="104">
        <v>6500</v>
      </c>
      <c r="G40" s="104">
        <v>0</v>
      </c>
      <c r="H40" s="104">
        <v>6500</v>
      </c>
      <c r="I40" s="105"/>
      <c r="J40" s="106">
        <f>Table6[[#This Row],[Total Value Including Tax]]*$J$5</f>
        <v>357.5</v>
      </c>
      <c r="K40" s="106">
        <f>Table6[[#This Row],[Total Value Including Tax]]-Table6[[#This Row],[Less GST Tax @5.5%]]</f>
        <v>6142.5</v>
      </c>
      <c r="L40" s="106">
        <f>Table6[[#This Row],[Remaining Value]]-Table6[[#This Row],[Add GST Tax @18% Full]]</f>
        <v>6142.5</v>
      </c>
      <c r="M40" s="106"/>
      <c r="N40" s="106">
        <f>Table6[[#This Row],[Less GST Tax @18% Value]]-Table6[[#This Row],[Transfer Amount]]</f>
        <v>6142.5</v>
      </c>
    </row>
    <row r="41" spans="1:14" ht="21.95" customHeight="1" x14ac:dyDescent="0.35">
      <c r="A41" s="101">
        <v>45895</v>
      </c>
      <c r="B41" s="102">
        <v>9067</v>
      </c>
      <c r="C41" s="103" t="s">
        <v>99</v>
      </c>
      <c r="D41" s="104">
        <v>1200</v>
      </c>
      <c r="E41" s="104">
        <v>0</v>
      </c>
      <c r="F41" s="104">
        <v>1200</v>
      </c>
      <c r="G41" s="104">
        <v>0</v>
      </c>
      <c r="H41" s="104">
        <v>1200</v>
      </c>
      <c r="I41" s="105"/>
      <c r="J41" s="106">
        <f>Table6[[#This Row],[Total Value Including Tax]]*$J$5</f>
        <v>66</v>
      </c>
      <c r="K41" s="106">
        <f>Table6[[#This Row],[Total Value Including Tax]]-Table6[[#This Row],[Less GST Tax @5.5%]]</f>
        <v>1134</v>
      </c>
      <c r="L41" s="106">
        <f>Table6[[#This Row],[Remaining Value]]-Table6[[#This Row],[Add GST Tax @18% Full]]</f>
        <v>1134</v>
      </c>
      <c r="M41" s="106"/>
      <c r="N41" s="106">
        <f>Table6[[#This Row],[Less GST Tax @18% Value]]-Table6[[#This Row],[Transfer Amount]]</f>
        <v>1134</v>
      </c>
    </row>
    <row r="42" spans="1:14" ht="21.95" customHeight="1" x14ac:dyDescent="0.35">
      <c r="A42" s="101">
        <v>45895</v>
      </c>
      <c r="B42" s="102">
        <v>9068</v>
      </c>
      <c r="C42" s="103" t="s">
        <v>44</v>
      </c>
      <c r="D42" s="104">
        <v>34320</v>
      </c>
      <c r="E42" s="104">
        <v>0</v>
      </c>
      <c r="F42" s="104">
        <v>34320</v>
      </c>
      <c r="G42" s="104">
        <v>0</v>
      </c>
      <c r="H42" s="104">
        <v>34320</v>
      </c>
      <c r="I42" s="105"/>
      <c r="J42" s="106">
        <f>Table6[[#This Row],[Total Value Including Tax]]*$J$5</f>
        <v>1887.6</v>
      </c>
      <c r="K42" s="106">
        <f>Table6[[#This Row],[Total Value Including Tax]]-Table6[[#This Row],[Less GST Tax @5.5%]]</f>
        <v>32432.400000000001</v>
      </c>
      <c r="L42" s="106">
        <f>Table6[[#This Row],[Remaining Value]]-Table6[[#This Row],[Add GST Tax @18% Full]]</f>
        <v>32432.400000000001</v>
      </c>
      <c r="M42" s="106"/>
      <c r="N42" s="106">
        <f>Table6[[#This Row],[Less GST Tax @18% Value]]-Table6[[#This Row],[Transfer Amount]]</f>
        <v>32432.400000000001</v>
      </c>
    </row>
    <row r="43" spans="1:14" ht="21.95" customHeight="1" x14ac:dyDescent="0.35">
      <c r="A43" s="101">
        <v>45895</v>
      </c>
      <c r="B43" s="102">
        <v>9069</v>
      </c>
      <c r="C43" s="103" t="s">
        <v>102</v>
      </c>
      <c r="D43" s="104">
        <v>50000</v>
      </c>
      <c r="E43" s="104">
        <v>0</v>
      </c>
      <c r="F43" s="104">
        <v>50000</v>
      </c>
      <c r="G43" s="104">
        <v>0</v>
      </c>
      <c r="H43" s="104">
        <v>50000</v>
      </c>
      <c r="I43" s="105"/>
      <c r="J43" s="106">
        <f>Table6[[#This Row],[Total Value Including Tax]]*$J$5</f>
        <v>2750</v>
      </c>
      <c r="K43" s="106">
        <f>Table6[[#This Row],[Total Value Including Tax]]-Table6[[#This Row],[Less GST Tax @5.5%]]</f>
        <v>47250</v>
      </c>
      <c r="L43" s="106">
        <f>Table6[[#This Row],[Remaining Value]]-Table6[[#This Row],[Add GST Tax @18% Full]]</f>
        <v>47250</v>
      </c>
      <c r="M43" s="106"/>
      <c r="N43" s="106">
        <f>Table6[[#This Row],[Less GST Tax @18% Value]]-Table6[[#This Row],[Transfer Amount]]</f>
        <v>47250</v>
      </c>
    </row>
    <row r="44" spans="1:14" ht="21.95" customHeight="1" x14ac:dyDescent="0.35">
      <c r="A44" s="69">
        <v>45897</v>
      </c>
      <c r="B44" s="70">
        <v>9070</v>
      </c>
      <c r="C44" s="71" t="s">
        <v>73</v>
      </c>
      <c r="D44" s="84">
        <v>1200</v>
      </c>
      <c r="E44" s="84">
        <v>0</v>
      </c>
      <c r="F44" s="84">
        <v>1200</v>
      </c>
      <c r="G44" s="84">
        <v>0</v>
      </c>
      <c r="H44" s="84">
        <v>1200</v>
      </c>
      <c r="I44" s="85"/>
      <c r="J44" s="86">
        <f>Table6[[#This Row],[Total Value Including Tax]]*$J$5</f>
        <v>66</v>
      </c>
      <c r="K44" s="86">
        <f>Table6[[#This Row],[Total Value Including Tax]]-Table6[[#This Row],[Less GST Tax @5.5%]]</f>
        <v>1134</v>
      </c>
      <c r="L44" s="86">
        <f>Table6[[#This Row],[Remaining Value]]-Table6[[#This Row],[Add GST Tax @18% Full]]</f>
        <v>1134</v>
      </c>
      <c r="M44" s="86"/>
      <c r="N44" s="86">
        <f>Table6[[#This Row],[Less GST Tax @18% Value]]-Table6[[#This Row],[Transfer Amount]]</f>
        <v>1134</v>
      </c>
    </row>
    <row r="45" spans="1:14" ht="21.95" customHeight="1" x14ac:dyDescent="0.35">
      <c r="A45" s="101">
        <v>45904</v>
      </c>
      <c r="B45" s="102">
        <v>9071</v>
      </c>
      <c r="C45" s="103" t="s">
        <v>55</v>
      </c>
      <c r="D45" s="104">
        <v>567550</v>
      </c>
      <c r="E45" s="104">
        <v>0</v>
      </c>
      <c r="F45" s="104">
        <v>567550</v>
      </c>
      <c r="G45" s="104">
        <v>0</v>
      </c>
      <c r="H45" s="104">
        <v>567550</v>
      </c>
      <c r="I45" s="105"/>
      <c r="J45" s="106">
        <f>Table6[[#This Row],[Total Value Including Tax]]*$J$5</f>
        <v>31215.25</v>
      </c>
      <c r="K45" s="106">
        <f>Table6[[#This Row],[Total Value Including Tax]]-Table6[[#This Row],[Less GST Tax @5.5%]]</f>
        <v>536334.75</v>
      </c>
      <c r="L45" s="106">
        <f>Table6[[#This Row],[Remaining Value]]-Table6[[#This Row],[Add GST Tax @18% Full]]</f>
        <v>536334.75</v>
      </c>
      <c r="M45" s="106"/>
      <c r="N45" s="106">
        <f>Table6[[#This Row],[Less GST Tax @18% Value]]-Table6[[#This Row],[Transfer Amount]]</f>
        <v>536334.75</v>
      </c>
    </row>
    <row r="46" spans="1:14" ht="21.95" customHeight="1" x14ac:dyDescent="0.35">
      <c r="A46" s="101">
        <v>45905</v>
      </c>
      <c r="B46" s="102">
        <v>9072</v>
      </c>
      <c r="C46" s="103" t="s">
        <v>49</v>
      </c>
      <c r="D46" s="104">
        <v>644390</v>
      </c>
      <c r="E46" s="104">
        <v>0</v>
      </c>
      <c r="F46" s="104">
        <v>644390</v>
      </c>
      <c r="G46" s="104">
        <v>0</v>
      </c>
      <c r="H46" s="104">
        <v>644390</v>
      </c>
      <c r="I46" s="105"/>
      <c r="J46" s="106">
        <f>Table6[[#This Row],[Total Value Including Tax]]*$J$5</f>
        <v>35441.449999999997</v>
      </c>
      <c r="K46" s="106">
        <f>Table6[[#This Row],[Total Value Including Tax]]-Table6[[#This Row],[Less GST Tax @5.5%]]</f>
        <v>608948.55000000005</v>
      </c>
      <c r="L46" s="106">
        <f>Table6[[#This Row],[Remaining Value]]-Table6[[#This Row],[Add GST Tax @18% Full]]</f>
        <v>608948.55000000005</v>
      </c>
      <c r="M46" s="106"/>
      <c r="N46" s="106">
        <f>Table6[[#This Row],[Less GST Tax @18% Value]]-Table6[[#This Row],[Transfer Amount]]</f>
        <v>608948.55000000005</v>
      </c>
    </row>
    <row r="47" spans="1:14" ht="21.95" customHeight="1" x14ac:dyDescent="0.35">
      <c r="A47" s="101">
        <v>45903</v>
      </c>
      <c r="B47" s="102">
        <v>9073</v>
      </c>
      <c r="C47" s="103" t="s">
        <v>103</v>
      </c>
      <c r="D47" s="104">
        <v>33900</v>
      </c>
      <c r="E47" s="104">
        <v>0</v>
      </c>
      <c r="F47" s="104">
        <v>33900</v>
      </c>
      <c r="G47" s="104">
        <v>0</v>
      </c>
      <c r="H47" s="104">
        <v>33900</v>
      </c>
      <c r="I47" s="105"/>
      <c r="J47" s="106">
        <f>Table6[[#This Row],[Total Value Including Tax]]*$J$5</f>
        <v>1864.5</v>
      </c>
      <c r="K47" s="106">
        <f>Table6[[#This Row],[Total Value Including Tax]]-Table6[[#This Row],[Less GST Tax @5.5%]]</f>
        <v>32035.5</v>
      </c>
      <c r="L47" s="106">
        <f>Table6[[#This Row],[Remaining Value]]-Table6[[#This Row],[Add GST Tax @18% Full]]</f>
        <v>32035.5</v>
      </c>
      <c r="M47" s="106"/>
      <c r="N47" s="106">
        <f>Table6[[#This Row],[Less GST Tax @18% Value]]-Table6[[#This Row],[Transfer Amount]]</f>
        <v>32035.5</v>
      </c>
    </row>
    <row r="48" spans="1:14" ht="21.95" customHeight="1" x14ac:dyDescent="0.35">
      <c r="A48" s="69">
        <v>45901</v>
      </c>
      <c r="B48" s="70">
        <v>9074</v>
      </c>
      <c r="C48" s="71"/>
      <c r="D48" s="84">
        <v>8000</v>
      </c>
      <c r="E48" s="84">
        <v>0</v>
      </c>
      <c r="F48" s="84">
        <v>8000</v>
      </c>
      <c r="G48" s="84">
        <v>0</v>
      </c>
      <c r="H48" s="84">
        <v>8000</v>
      </c>
      <c r="I48" s="85"/>
      <c r="J48" s="86">
        <f>Table6[[#This Row],[Total Value Including Tax]]*$J$5</f>
        <v>440</v>
      </c>
      <c r="K48" s="86">
        <f>Table6[[#This Row],[Total Value Including Tax]]-Table6[[#This Row],[Less GST Tax @5.5%]]</f>
        <v>7560</v>
      </c>
      <c r="L48" s="86">
        <f>Table6[[#This Row],[Remaining Value]]-Table6[[#This Row],[Add GST Tax @18% Full]]</f>
        <v>7560</v>
      </c>
      <c r="M48" s="86"/>
      <c r="N48" s="86">
        <f>Table6[[#This Row],[Less GST Tax @18% Value]]-Table6[[#This Row],[Transfer Amount]]</f>
        <v>7560</v>
      </c>
    </row>
    <row r="49" spans="1:14" ht="21.95" customHeight="1" x14ac:dyDescent="0.35">
      <c r="A49" s="101">
        <v>45911</v>
      </c>
      <c r="B49" s="102">
        <v>9075</v>
      </c>
      <c r="C49" s="103"/>
      <c r="D49" s="104">
        <v>17800</v>
      </c>
      <c r="E49" s="104">
        <v>0</v>
      </c>
      <c r="F49" s="104">
        <v>17800</v>
      </c>
      <c r="G49" s="104">
        <v>0</v>
      </c>
      <c r="H49" s="104">
        <v>17800</v>
      </c>
      <c r="I49" s="105"/>
      <c r="J49" s="106">
        <f>Table6[[#This Row],[Total Value Including Tax]]*$J$5</f>
        <v>979</v>
      </c>
      <c r="K49" s="106">
        <f>Table6[[#This Row],[Total Value Including Tax]]-Table6[[#This Row],[Less GST Tax @5.5%]]</f>
        <v>16821</v>
      </c>
      <c r="L49" s="106">
        <f>Table6[[#This Row],[Remaining Value]]-Table6[[#This Row],[Add GST Tax @18% Full]]</f>
        <v>16821</v>
      </c>
      <c r="M49" s="106"/>
      <c r="N49" s="106">
        <f>Table6[[#This Row],[Less GST Tax @18% Value]]-Table6[[#This Row],[Transfer Amount]]</f>
        <v>16821</v>
      </c>
    </row>
    <row r="50" spans="1:14" ht="21.95" customHeight="1" x14ac:dyDescent="0.35">
      <c r="A50" s="69">
        <v>45915</v>
      </c>
      <c r="B50" s="70">
        <v>9076</v>
      </c>
      <c r="C50" s="71"/>
      <c r="D50" s="84">
        <v>249600</v>
      </c>
      <c r="E50" s="84">
        <v>0</v>
      </c>
      <c r="F50" s="84">
        <v>249600</v>
      </c>
      <c r="G50" s="84">
        <v>0</v>
      </c>
      <c r="H50" s="84">
        <v>249600</v>
      </c>
      <c r="I50" s="85"/>
      <c r="J50" s="86">
        <f>Table6[[#This Row],[Total Value Including Tax]]*$J$5</f>
        <v>13728</v>
      </c>
      <c r="K50" s="86">
        <f>Table6[[#This Row],[Total Value Including Tax]]-Table6[[#This Row],[Less GST Tax @5.5%]]</f>
        <v>235872</v>
      </c>
      <c r="L50" s="86">
        <f>Table6[[#This Row],[Remaining Value]]-Table6[[#This Row],[Add GST Tax @18% Full]]</f>
        <v>235872</v>
      </c>
      <c r="M50" s="86"/>
      <c r="N50" s="86">
        <f>Table6[[#This Row],[Less GST Tax @18% Value]]-Table6[[#This Row],[Transfer Amount]]</f>
        <v>235872</v>
      </c>
    </row>
    <row r="51" spans="1:14" ht="21.95" customHeight="1" x14ac:dyDescent="0.35">
      <c r="A51" s="101">
        <v>45916</v>
      </c>
      <c r="B51" s="102">
        <v>9077</v>
      </c>
      <c r="C51" s="103"/>
      <c r="D51" s="104">
        <v>16000</v>
      </c>
      <c r="E51" s="104">
        <v>0</v>
      </c>
      <c r="F51" s="104">
        <v>16000</v>
      </c>
      <c r="G51" s="104">
        <v>0</v>
      </c>
      <c r="H51" s="104">
        <v>16000</v>
      </c>
      <c r="I51" s="105"/>
      <c r="J51" s="106">
        <f>Table6[[#This Row],[Total Value Including Tax]]*$J$5</f>
        <v>880</v>
      </c>
      <c r="K51" s="106">
        <f>Table6[[#This Row],[Total Value Including Tax]]-Table6[[#This Row],[Less GST Tax @5.5%]]</f>
        <v>15120</v>
      </c>
      <c r="L51" s="106">
        <f>Table6[[#This Row],[Remaining Value]]-Table6[[#This Row],[Add GST Tax @18% Full]]</f>
        <v>15120</v>
      </c>
      <c r="M51" s="106"/>
      <c r="N51" s="106">
        <f>Table6[[#This Row],[Less GST Tax @18% Value]]-Table6[[#This Row],[Transfer Amount]]</f>
        <v>15120</v>
      </c>
    </row>
    <row r="52" spans="1:14" ht="21.95" customHeight="1" x14ac:dyDescent="0.35">
      <c r="A52" s="101">
        <v>45917</v>
      </c>
      <c r="B52" s="102">
        <v>9077</v>
      </c>
      <c r="C52" s="103"/>
      <c r="D52" s="104">
        <v>7500</v>
      </c>
      <c r="E52" s="104">
        <v>0</v>
      </c>
      <c r="F52" s="104">
        <v>7500</v>
      </c>
      <c r="G52" s="104">
        <v>0</v>
      </c>
      <c r="H52" s="104">
        <v>7500</v>
      </c>
      <c r="I52" s="105"/>
      <c r="J52" s="106">
        <f>Table6[[#This Row],[Total Value Including Tax]]*$J$5</f>
        <v>412.5</v>
      </c>
      <c r="K52" s="106">
        <f>Table6[[#This Row],[Total Value Including Tax]]-Table6[[#This Row],[Less GST Tax @5.5%]]</f>
        <v>7087.5</v>
      </c>
      <c r="L52" s="106">
        <f>Table6[[#This Row],[Remaining Value]]-Table6[[#This Row],[Add GST Tax @18% Full]]</f>
        <v>7087.5</v>
      </c>
      <c r="M52" s="106"/>
      <c r="N52" s="106">
        <f>Table6[[#This Row],[Less GST Tax @18% Value]]-Table6[[#This Row],[Transfer Amount]]</f>
        <v>7087.5</v>
      </c>
    </row>
    <row r="53" spans="1:14" ht="21.95" customHeight="1" x14ac:dyDescent="0.35">
      <c r="A53" s="101">
        <v>45917</v>
      </c>
      <c r="B53" s="102">
        <v>9078</v>
      </c>
      <c r="C53" s="103"/>
      <c r="D53" s="104">
        <v>8600</v>
      </c>
      <c r="E53" s="104">
        <v>0</v>
      </c>
      <c r="F53" s="104">
        <v>8600</v>
      </c>
      <c r="G53" s="104">
        <v>0</v>
      </c>
      <c r="H53" s="104">
        <v>8600</v>
      </c>
      <c r="I53" s="105"/>
      <c r="J53" s="106">
        <f>Table6[[#This Row],[Total Value Including Tax]]*$J$5</f>
        <v>473</v>
      </c>
      <c r="K53" s="106">
        <f>Table6[[#This Row],[Total Value Including Tax]]-Table6[[#This Row],[Less GST Tax @5.5%]]</f>
        <v>8127</v>
      </c>
      <c r="L53" s="106">
        <f>Table6[[#This Row],[Remaining Value]]-Table6[[#This Row],[Add GST Tax @18% Full]]</f>
        <v>8127</v>
      </c>
      <c r="M53" s="106"/>
      <c r="N53" s="106">
        <f>Table6[[#This Row],[Less GST Tax @18% Value]]-Table6[[#This Row],[Transfer Amount]]</f>
        <v>8127</v>
      </c>
    </row>
    <row r="54" spans="1:14" ht="21.95" customHeight="1" x14ac:dyDescent="0.35">
      <c r="A54" s="101">
        <v>45917</v>
      </c>
      <c r="B54" s="102">
        <v>9079</v>
      </c>
      <c r="C54" s="103"/>
      <c r="D54" s="104">
        <v>6680</v>
      </c>
      <c r="E54" s="104">
        <v>0</v>
      </c>
      <c r="F54" s="104">
        <v>6680</v>
      </c>
      <c r="G54" s="104">
        <v>0</v>
      </c>
      <c r="H54" s="104">
        <v>6680</v>
      </c>
      <c r="I54" s="105"/>
      <c r="J54" s="106">
        <f>Table6[[#This Row],[Total Value Including Tax]]*$J$5</f>
        <v>367.4</v>
      </c>
      <c r="K54" s="106">
        <f>Table6[[#This Row],[Total Value Including Tax]]-Table6[[#This Row],[Less GST Tax @5.5%]]</f>
        <v>6312.6</v>
      </c>
      <c r="L54" s="106">
        <f>Table6[[#This Row],[Remaining Value]]-Table6[[#This Row],[Add GST Tax @18% Full]]</f>
        <v>6312.6</v>
      </c>
      <c r="M54" s="106"/>
      <c r="N54" s="106">
        <f>Table6[[#This Row],[Less GST Tax @18% Value]]-Table6[[#This Row],[Transfer Amount]]</f>
        <v>6312.6</v>
      </c>
    </row>
    <row r="55" spans="1:14" ht="21.95" customHeight="1" x14ac:dyDescent="0.35">
      <c r="A55" s="69">
        <v>45918</v>
      </c>
      <c r="B55" s="70">
        <v>9081</v>
      </c>
      <c r="C55" s="71"/>
      <c r="D55" s="84">
        <v>2500</v>
      </c>
      <c r="E55" s="84">
        <v>0</v>
      </c>
      <c r="F55" s="84">
        <v>2500</v>
      </c>
      <c r="G55" s="84">
        <v>0</v>
      </c>
      <c r="H55" s="84">
        <v>2500</v>
      </c>
      <c r="I55" s="85"/>
      <c r="J55" s="86">
        <f>Table6[[#This Row],[Total Value Including Tax]]*$J$5</f>
        <v>137.5</v>
      </c>
      <c r="K55" s="86">
        <f>Table6[[#This Row],[Total Value Including Tax]]-Table6[[#This Row],[Less GST Tax @5.5%]]</f>
        <v>2362.5</v>
      </c>
      <c r="L55" s="86">
        <f>Table6[[#This Row],[Remaining Value]]-Table6[[#This Row],[Add GST Tax @18% Full]]</f>
        <v>2362.5</v>
      </c>
      <c r="M55" s="86"/>
      <c r="N55" s="86">
        <f>Table6[[#This Row],[Less GST Tax @18% Value]]-Table6[[#This Row],[Transfer Amount]]</f>
        <v>2362.5</v>
      </c>
    </row>
    <row r="56" spans="1:14" ht="21.95" customHeight="1" x14ac:dyDescent="0.35">
      <c r="A56" s="116">
        <v>45922</v>
      </c>
      <c r="B56" s="117">
        <v>9082</v>
      </c>
      <c r="C56" s="118"/>
      <c r="D56" s="119">
        <v>153473</v>
      </c>
      <c r="E56" s="119">
        <v>0</v>
      </c>
      <c r="F56" s="119">
        <v>153473</v>
      </c>
      <c r="G56" s="119">
        <v>0</v>
      </c>
      <c r="H56" s="119">
        <v>153473</v>
      </c>
      <c r="I56" s="120"/>
      <c r="J56" s="121">
        <f>Table6[[#This Row],[Total Value Including Tax]]*$J$5</f>
        <v>8441.0149999999994</v>
      </c>
      <c r="K56" s="121">
        <f>Table6[[#This Row],[Total Value Including Tax]]-Table6[[#This Row],[Less GST Tax @5.5%]]</f>
        <v>145031.98499999999</v>
      </c>
      <c r="L56" s="121">
        <f>Table6[[#This Row],[Remaining Value]]-Table6[[#This Row],[Add GST Tax @18% Full]]</f>
        <v>145031.98499999999</v>
      </c>
      <c r="M56" s="121"/>
      <c r="N56" s="121">
        <f>Table6[[#This Row],[Less GST Tax @18% Value]]-Table6[[#This Row],[Transfer Amount]]</f>
        <v>145031.98499999999</v>
      </c>
    </row>
    <row r="57" spans="1:14" ht="21.95" customHeight="1" x14ac:dyDescent="0.35">
      <c r="A57" s="69">
        <v>45923</v>
      </c>
      <c r="B57" s="70">
        <v>9084</v>
      </c>
      <c r="C57" s="71"/>
      <c r="D57" s="84">
        <v>30000</v>
      </c>
      <c r="E57" s="84">
        <v>0</v>
      </c>
      <c r="F57" s="84">
        <v>30000</v>
      </c>
      <c r="G57" s="84">
        <v>0</v>
      </c>
      <c r="H57" s="84">
        <v>30000</v>
      </c>
      <c r="I57" s="85"/>
      <c r="J57" s="86">
        <f>Table6[[#This Row],[Total Value Including Tax]]*$J$5</f>
        <v>1650</v>
      </c>
      <c r="K57" s="86">
        <f>Table6[[#This Row],[Total Value Including Tax]]-Table6[[#This Row],[Less GST Tax @5.5%]]</f>
        <v>28350</v>
      </c>
      <c r="L57" s="86">
        <f>Table6[[#This Row],[Remaining Value]]-Table6[[#This Row],[Add GST Tax @18% Full]]</f>
        <v>28350</v>
      </c>
      <c r="M57" s="86"/>
      <c r="N57" s="86">
        <f>Table6[[#This Row],[Less GST Tax @18% Value]]-Table6[[#This Row],[Transfer Amount]]</f>
        <v>28350</v>
      </c>
    </row>
    <row r="58" spans="1:14" ht="21.95" customHeight="1" x14ac:dyDescent="0.35">
      <c r="A58" s="122">
        <v>45923</v>
      </c>
      <c r="B58" s="123">
        <v>9085</v>
      </c>
      <c r="C58" s="124"/>
      <c r="D58" s="125">
        <v>12000</v>
      </c>
      <c r="E58" s="125">
        <v>0</v>
      </c>
      <c r="F58" s="125">
        <v>12000</v>
      </c>
      <c r="G58" s="125">
        <v>0</v>
      </c>
      <c r="H58" s="125">
        <v>12000</v>
      </c>
      <c r="I58" s="126"/>
      <c r="J58" s="127">
        <f>Table6[[#This Row],[Total Value Including Tax]]*$J$5</f>
        <v>660</v>
      </c>
      <c r="K58" s="127">
        <f>Table6[[#This Row],[Total Value Including Tax]]-Table6[[#This Row],[Less GST Tax @5.5%]]</f>
        <v>11340</v>
      </c>
      <c r="L58" s="127">
        <f>Table6[[#This Row],[Remaining Value]]-Table6[[#This Row],[Add GST Tax @18% Full]]</f>
        <v>11340</v>
      </c>
      <c r="M58" s="127"/>
      <c r="N58" s="127">
        <f>Table6[[#This Row],[Less GST Tax @18% Value]]-Table6[[#This Row],[Transfer Amount]]</f>
        <v>11340</v>
      </c>
    </row>
    <row r="59" spans="1:14" ht="21.95" customHeight="1" x14ac:dyDescent="0.35">
      <c r="A59" s="69">
        <v>45925</v>
      </c>
      <c r="B59" s="70">
        <v>9086</v>
      </c>
      <c r="C59" s="71"/>
      <c r="D59" s="84">
        <v>9600</v>
      </c>
      <c r="E59" s="84">
        <v>0</v>
      </c>
      <c r="F59" s="84">
        <v>9600</v>
      </c>
      <c r="G59" s="84">
        <v>0</v>
      </c>
      <c r="H59" s="84">
        <v>9600</v>
      </c>
      <c r="I59" s="85"/>
      <c r="J59" s="86">
        <f>Table6[[#This Row],[Total Value Including Tax]]*$J$5</f>
        <v>528</v>
      </c>
      <c r="K59" s="86">
        <f>Table6[[#This Row],[Total Value Including Tax]]-Table6[[#This Row],[Less GST Tax @5.5%]]</f>
        <v>9072</v>
      </c>
      <c r="L59" s="86">
        <f>Table6[[#This Row],[Remaining Value]]-Table6[[#This Row],[Add GST Tax @18% Full]]</f>
        <v>9072</v>
      </c>
      <c r="M59" s="86"/>
      <c r="N59" s="86">
        <f>Table6[[#This Row],[Less GST Tax @18% Value]]-Table6[[#This Row],[Transfer Amount]]</f>
        <v>9072</v>
      </c>
    </row>
    <row r="60" spans="1:14" ht="21.95" customHeight="1" x14ac:dyDescent="0.35">
      <c r="A60" s="122">
        <v>45926</v>
      </c>
      <c r="B60" s="123">
        <v>9087</v>
      </c>
      <c r="C60" s="124"/>
      <c r="D60" s="125">
        <v>7700</v>
      </c>
      <c r="E60" s="125">
        <v>0</v>
      </c>
      <c r="F60" s="125">
        <v>7700</v>
      </c>
      <c r="G60" s="125">
        <v>0</v>
      </c>
      <c r="H60" s="125">
        <v>7700</v>
      </c>
      <c r="I60" s="126"/>
      <c r="J60" s="127">
        <f>Table6[[#This Row],[Total Value Including Tax]]*$J$5</f>
        <v>423.5</v>
      </c>
      <c r="K60" s="127">
        <f>Table6[[#This Row],[Total Value Including Tax]]-Table6[[#This Row],[Less GST Tax @5.5%]]</f>
        <v>7276.5</v>
      </c>
      <c r="L60" s="127">
        <f>Table6[[#This Row],[Remaining Value]]-Table6[[#This Row],[Add GST Tax @18% Full]]</f>
        <v>7276.5</v>
      </c>
      <c r="M60" s="127"/>
      <c r="N60" s="127">
        <f>Table6[[#This Row],[Less GST Tax @18% Value]]-Table6[[#This Row],[Transfer Amount]]</f>
        <v>7276.5</v>
      </c>
    </row>
    <row r="61" spans="1:14" ht="21.95" customHeight="1" x14ac:dyDescent="0.35">
      <c r="A61" s="69">
        <v>45926</v>
      </c>
      <c r="B61" s="70">
        <v>9088</v>
      </c>
      <c r="C61" s="71"/>
      <c r="D61" s="84">
        <v>112200</v>
      </c>
      <c r="E61" s="84">
        <v>0</v>
      </c>
      <c r="F61" s="84">
        <v>112200</v>
      </c>
      <c r="G61" s="84">
        <v>0</v>
      </c>
      <c r="H61" s="84">
        <v>112200</v>
      </c>
      <c r="I61" s="85"/>
      <c r="J61" s="86">
        <f>Table6[[#This Row],[Total Value Including Tax]]*$J$5</f>
        <v>6171</v>
      </c>
      <c r="K61" s="86">
        <f>Table6[[#This Row],[Total Value Including Tax]]-Table6[[#This Row],[Less GST Tax @5.5%]]</f>
        <v>106029</v>
      </c>
      <c r="L61" s="86">
        <f>Table6[[#This Row],[Remaining Value]]-Table6[[#This Row],[Add GST Tax @18% Full]]</f>
        <v>106029</v>
      </c>
      <c r="M61" s="86"/>
      <c r="N61" s="86">
        <f>Table6[[#This Row],[Less GST Tax @18% Value]]-Table6[[#This Row],[Transfer Amount]]</f>
        <v>106029</v>
      </c>
    </row>
    <row r="62" spans="1:14" ht="21.95" customHeight="1" x14ac:dyDescent="0.35">
      <c r="A62" s="122">
        <v>45929</v>
      </c>
      <c r="B62" s="123">
        <v>9089</v>
      </c>
      <c r="C62" s="124"/>
      <c r="D62" s="125">
        <v>13000</v>
      </c>
      <c r="E62" s="125">
        <v>0</v>
      </c>
      <c r="F62" s="125">
        <v>13000</v>
      </c>
      <c r="G62" s="125">
        <v>0</v>
      </c>
      <c r="H62" s="125">
        <v>13000</v>
      </c>
      <c r="I62" s="126"/>
      <c r="J62" s="127">
        <f>Table6[[#This Row],[Total Value Including Tax]]*$J$5</f>
        <v>715</v>
      </c>
      <c r="K62" s="127">
        <f>Table6[[#This Row],[Total Value Including Tax]]-Table6[[#This Row],[Less GST Tax @5.5%]]</f>
        <v>12285</v>
      </c>
      <c r="L62" s="127">
        <f>Table6[[#This Row],[Remaining Value]]-Table6[[#This Row],[Add GST Tax @18% Full]]</f>
        <v>12285</v>
      </c>
      <c r="M62" s="127"/>
      <c r="N62" s="127">
        <f>Table6[[#This Row],[Less GST Tax @18% Value]]-Table6[[#This Row],[Transfer Amount]]</f>
        <v>12285</v>
      </c>
    </row>
    <row r="63" spans="1:14" ht="21.95" customHeight="1" x14ac:dyDescent="0.35">
      <c r="A63" s="122">
        <v>45930</v>
      </c>
      <c r="B63" s="123">
        <v>9090</v>
      </c>
      <c r="C63" s="124"/>
      <c r="D63" s="125">
        <v>23068</v>
      </c>
      <c r="E63" s="125">
        <v>0</v>
      </c>
      <c r="F63" s="125">
        <v>23068</v>
      </c>
      <c r="G63" s="125">
        <v>0</v>
      </c>
      <c r="H63" s="125">
        <v>23068</v>
      </c>
      <c r="I63" s="126"/>
      <c r="J63" s="127">
        <f>Table6[[#This Row],[Total Value Including Tax]]*$J$5</f>
        <v>1268.74</v>
      </c>
      <c r="K63" s="127">
        <f>Table6[[#This Row],[Total Value Including Tax]]-Table6[[#This Row],[Less GST Tax @5.5%]]</f>
        <v>21799.26</v>
      </c>
      <c r="L63" s="127">
        <f>Table6[[#This Row],[Remaining Value]]-Table6[[#This Row],[Add GST Tax @18% Full]]</f>
        <v>21799.26</v>
      </c>
      <c r="M63" s="127"/>
      <c r="N63" s="127">
        <f>Table6[[#This Row],[Less GST Tax @18% Value]]-Table6[[#This Row],[Transfer Amount]]</f>
        <v>21799.26</v>
      </c>
    </row>
    <row r="64" spans="1:14" ht="21.95" customHeight="1" x14ac:dyDescent="0.35">
      <c r="A64" s="69">
        <v>45931</v>
      </c>
      <c r="B64" s="70">
        <v>9091</v>
      </c>
      <c r="C64" s="71"/>
      <c r="D64" s="84">
        <v>264309</v>
      </c>
      <c r="E64" s="84">
        <v>0</v>
      </c>
      <c r="F64" s="84">
        <v>264309</v>
      </c>
      <c r="G64" s="84">
        <v>0</v>
      </c>
      <c r="H64" s="84">
        <v>264309</v>
      </c>
      <c r="I64" s="85"/>
      <c r="J64" s="86">
        <f>Table6[[#This Row],[Total Value Including Tax]]*$J$5</f>
        <v>14536.995000000001</v>
      </c>
      <c r="K64" s="86">
        <f>Table6[[#This Row],[Total Value Including Tax]]-Table6[[#This Row],[Less GST Tax @5.5%]]</f>
        <v>249772.005</v>
      </c>
      <c r="L64" s="86">
        <f>Table6[[#This Row],[Remaining Value]]-Table6[[#This Row],[Add GST Tax @18% Full]]</f>
        <v>249772.005</v>
      </c>
      <c r="M64" s="86"/>
      <c r="N64" s="86">
        <f>Table6[[#This Row],[Less GST Tax @18% Value]]-Table6[[#This Row],[Transfer Amount]]</f>
        <v>249772.005</v>
      </c>
    </row>
    <row r="65" spans="1:14" ht="21.95" customHeight="1" x14ac:dyDescent="0.35">
      <c r="A65" s="69">
        <v>45931</v>
      </c>
      <c r="B65" s="70">
        <v>9092</v>
      </c>
      <c r="C65" s="71"/>
      <c r="D65" s="84">
        <v>3600</v>
      </c>
      <c r="E65" s="84">
        <v>0</v>
      </c>
      <c r="F65" s="84">
        <v>3600</v>
      </c>
      <c r="G65" s="84">
        <v>0</v>
      </c>
      <c r="H65" s="84">
        <v>3600</v>
      </c>
      <c r="I65" s="85"/>
      <c r="J65" s="86">
        <f>Table6[[#This Row],[Total Value Including Tax]]*$J$5</f>
        <v>198</v>
      </c>
      <c r="K65" s="86">
        <f>Table6[[#This Row],[Total Value Including Tax]]-Table6[[#This Row],[Less GST Tax @5.5%]]</f>
        <v>3402</v>
      </c>
      <c r="L65" s="86">
        <f>Table6[[#This Row],[Remaining Value]]-Table6[[#This Row],[Add GST Tax @18% Full]]</f>
        <v>3402</v>
      </c>
      <c r="M65" s="86"/>
      <c r="N65" s="86">
        <f>Table6[[#This Row],[Less GST Tax @18% Value]]-Table6[[#This Row],[Transfer Amount]]</f>
        <v>3402</v>
      </c>
    </row>
    <row r="66" spans="1:14" ht="21.95" customHeight="1" x14ac:dyDescent="0.35">
      <c r="A66" s="69">
        <v>45931</v>
      </c>
      <c r="B66" s="70">
        <v>9093</v>
      </c>
      <c r="C66" s="71"/>
      <c r="D66" s="84">
        <v>1500</v>
      </c>
      <c r="E66" s="84">
        <v>0</v>
      </c>
      <c r="F66" s="84">
        <v>1500</v>
      </c>
      <c r="G66" s="84">
        <v>0</v>
      </c>
      <c r="H66" s="84">
        <v>1500</v>
      </c>
      <c r="I66" s="85"/>
      <c r="J66" s="86">
        <f>Table6[[#This Row],[Total Value Including Tax]]*$J$5</f>
        <v>82.5</v>
      </c>
      <c r="K66" s="86">
        <f>Table6[[#This Row],[Total Value Including Tax]]-Table6[[#This Row],[Less GST Tax @5.5%]]</f>
        <v>1417.5</v>
      </c>
      <c r="L66" s="86">
        <f>Table6[[#This Row],[Remaining Value]]-Table6[[#This Row],[Add GST Tax @18% Full]]</f>
        <v>1417.5</v>
      </c>
      <c r="M66" s="86"/>
      <c r="N66" s="86">
        <f>Table6[[#This Row],[Less GST Tax @18% Value]]-Table6[[#This Row],[Transfer Amount]]</f>
        <v>1417.5</v>
      </c>
    </row>
    <row r="67" spans="1:14" ht="21.95" customHeight="1" x14ac:dyDescent="0.35">
      <c r="A67" s="69">
        <v>45931</v>
      </c>
      <c r="B67" s="70">
        <v>9094</v>
      </c>
      <c r="C67" s="71"/>
      <c r="D67" s="84">
        <v>1021960</v>
      </c>
      <c r="E67" s="84">
        <v>0</v>
      </c>
      <c r="F67" s="84">
        <v>1021960</v>
      </c>
      <c r="G67" s="84">
        <v>0</v>
      </c>
      <c r="H67" s="84">
        <v>1021960</v>
      </c>
      <c r="I67" s="85"/>
      <c r="J67" s="86">
        <f>Table6[[#This Row],[Total Value Including Tax]]*$J$5</f>
        <v>56207.8</v>
      </c>
      <c r="K67" s="86">
        <f>Table6[[#This Row],[Total Value Including Tax]]-Table6[[#This Row],[Less GST Tax @5.5%]]</f>
        <v>965752.2</v>
      </c>
      <c r="L67" s="86">
        <f>Table6[[#This Row],[Remaining Value]]-Table6[[#This Row],[Add GST Tax @18% Full]]</f>
        <v>965752.2</v>
      </c>
      <c r="M67" s="86"/>
      <c r="N67" s="86">
        <f>Table6[[#This Row],[Less GST Tax @18% Value]]-Table6[[#This Row],[Transfer Amount]]</f>
        <v>965752.2</v>
      </c>
    </row>
    <row r="68" spans="1:14" ht="21.95" customHeight="1" x14ac:dyDescent="0.35">
      <c r="A68" s="122">
        <v>45933</v>
      </c>
      <c r="B68" s="123">
        <v>9095</v>
      </c>
      <c r="C68" s="124"/>
      <c r="D68" s="125">
        <v>10700</v>
      </c>
      <c r="E68" s="125">
        <v>0</v>
      </c>
      <c r="F68" s="125">
        <v>10700</v>
      </c>
      <c r="G68" s="125">
        <v>0</v>
      </c>
      <c r="H68" s="125">
        <v>10700</v>
      </c>
      <c r="I68" s="126"/>
      <c r="J68" s="127">
        <f>Table6[[#This Row],[Total Value Including Tax]]*$J$5</f>
        <v>588.5</v>
      </c>
      <c r="K68" s="127">
        <f>Table6[[#This Row],[Total Value Including Tax]]-Table6[[#This Row],[Less GST Tax @5.5%]]</f>
        <v>10111.5</v>
      </c>
      <c r="L68" s="127">
        <f>Table6[[#This Row],[Remaining Value]]-Table6[[#This Row],[Add GST Tax @18% Full]]</f>
        <v>10111.5</v>
      </c>
      <c r="M68" s="127"/>
      <c r="N68" s="127">
        <f>Table6[[#This Row],[Less GST Tax @18% Value]]-Table6[[#This Row],[Transfer Amount]]</f>
        <v>10111.5</v>
      </c>
    </row>
    <row r="69" spans="1:14" ht="21.95" customHeight="1" x14ac:dyDescent="0.35">
      <c r="A69" s="69">
        <v>45936</v>
      </c>
      <c r="B69" s="70">
        <v>9096</v>
      </c>
      <c r="C69" s="71"/>
      <c r="D69" s="84">
        <v>15200</v>
      </c>
      <c r="E69" s="84">
        <v>0</v>
      </c>
      <c r="F69" s="84">
        <v>15200</v>
      </c>
      <c r="G69" s="84">
        <v>0</v>
      </c>
      <c r="H69" s="84">
        <v>15200</v>
      </c>
      <c r="I69" s="85"/>
      <c r="J69" s="86">
        <f>Table6[[#This Row],[Total Value Including Tax]]*$J$5</f>
        <v>836</v>
      </c>
      <c r="K69" s="86">
        <f>Table6[[#This Row],[Total Value Including Tax]]-Table6[[#This Row],[Less GST Tax @5.5%]]</f>
        <v>14364</v>
      </c>
      <c r="L69" s="86">
        <f>Table6[[#This Row],[Remaining Value]]-Table6[[#This Row],[Add GST Tax @18% Full]]</f>
        <v>14364</v>
      </c>
      <c r="M69" s="86"/>
      <c r="N69" s="86">
        <f>Table6[[#This Row],[Less GST Tax @18% Value]]-Table6[[#This Row],[Transfer Amount]]</f>
        <v>14364</v>
      </c>
    </row>
    <row r="70" spans="1:14" ht="21.95" customHeight="1" x14ac:dyDescent="0.35">
      <c r="A70" s="69">
        <v>45937</v>
      </c>
      <c r="B70" s="70">
        <v>9097</v>
      </c>
      <c r="C70" s="71"/>
      <c r="D70" s="84">
        <v>613014</v>
      </c>
      <c r="E70" s="84">
        <v>0</v>
      </c>
      <c r="F70" s="84">
        <v>613014</v>
      </c>
      <c r="G70" s="84">
        <v>0</v>
      </c>
      <c r="H70" s="84">
        <v>613014</v>
      </c>
      <c r="I70" s="85"/>
      <c r="J70" s="86">
        <f>Table6[[#This Row],[Total Value Including Tax]]*$J$5</f>
        <v>33715.769999999997</v>
      </c>
      <c r="K70" s="86">
        <f>Table6[[#This Row],[Total Value Including Tax]]-Table6[[#This Row],[Less GST Tax @5.5%]]</f>
        <v>579298.23</v>
      </c>
      <c r="L70" s="86">
        <f>Table6[[#This Row],[Remaining Value]]-Table6[[#This Row],[Add GST Tax @18% Full]]</f>
        <v>579298.23</v>
      </c>
      <c r="M70" s="86"/>
      <c r="N70" s="86">
        <f>Table6[[#This Row],[Less GST Tax @18% Value]]-Table6[[#This Row],[Transfer Amount]]</f>
        <v>579298.23</v>
      </c>
    </row>
    <row r="71" spans="1:14" ht="21.95" customHeight="1" x14ac:dyDescent="0.35">
      <c r="A71" s="69">
        <v>45937</v>
      </c>
      <c r="B71" s="70">
        <v>9098</v>
      </c>
      <c r="C71" s="71"/>
      <c r="D71" s="84">
        <v>10800</v>
      </c>
      <c r="E71" s="84">
        <v>0</v>
      </c>
      <c r="F71" s="84">
        <v>10800</v>
      </c>
      <c r="G71" s="84">
        <v>0</v>
      </c>
      <c r="H71" s="84">
        <v>10800</v>
      </c>
      <c r="I71" s="85"/>
      <c r="J71" s="86">
        <f>Table6[[#This Row],[Total Value Including Tax]]*$J$5</f>
        <v>594</v>
      </c>
      <c r="K71" s="86">
        <f>Table6[[#This Row],[Total Value Including Tax]]-Table6[[#This Row],[Less GST Tax @5.5%]]</f>
        <v>10206</v>
      </c>
      <c r="L71" s="86">
        <f>Table6[[#This Row],[Remaining Value]]-Table6[[#This Row],[Add GST Tax @18% Full]]</f>
        <v>10206</v>
      </c>
      <c r="M71" s="86"/>
      <c r="N71" s="86">
        <f>Table6[[#This Row],[Less GST Tax @18% Value]]-Table6[[#This Row],[Transfer Amount]]</f>
        <v>10206</v>
      </c>
    </row>
    <row r="72" spans="1:14" ht="21.95" customHeight="1" x14ac:dyDescent="0.35">
      <c r="A72" s="69">
        <v>45938</v>
      </c>
      <c r="B72" s="70">
        <v>9099</v>
      </c>
      <c r="C72" s="71"/>
      <c r="D72" s="84">
        <v>3500</v>
      </c>
      <c r="E72" s="84">
        <v>0</v>
      </c>
      <c r="F72" s="84">
        <v>3500</v>
      </c>
      <c r="G72" s="84">
        <v>0</v>
      </c>
      <c r="H72" s="84">
        <v>3500</v>
      </c>
      <c r="I72" s="85"/>
      <c r="J72" s="86">
        <f>Table6[[#This Row],[Total Value Including Tax]]*$J$5</f>
        <v>192.5</v>
      </c>
      <c r="K72" s="86">
        <f>Table6[[#This Row],[Total Value Including Tax]]-Table6[[#This Row],[Less GST Tax @5.5%]]</f>
        <v>3307.5</v>
      </c>
      <c r="L72" s="86">
        <f>Table6[[#This Row],[Remaining Value]]-Table6[[#This Row],[Add GST Tax @18% Full]]</f>
        <v>3307.5</v>
      </c>
      <c r="M72" s="86"/>
      <c r="N72" s="86">
        <f>Table6[[#This Row],[Less GST Tax @18% Value]]-Table6[[#This Row],[Transfer Amount]]</f>
        <v>3307.5</v>
      </c>
    </row>
    <row r="73" spans="1:14" ht="21.95" customHeight="1" x14ac:dyDescent="0.35">
      <c r="A73" s="122">
        <v>45938</v>
      </c>
      <c r="B73" s="123">
        <v>9100</v>
      </c>
      <c r="C73" s="124"/>
      <c r="D73" s="125">
        <v>23100</v>
      </c>
      <c r="E73" s="125">
        <v>0</v>
      </c>
      <c r="F73" s="125">
        <v>23100</v>
      </c>
      <c r="G73" s="125">
        <v>0</v>
      </c>
      <c r="H73" s="125">
        <v>23100</v>
      </c>
      <c r="I73" s="126"/>
      <c r="J73" s="127">
        <f>Table6[[#This Row],[Total Value Including Tax]]*$J$5</f>
        <v>1270.5</v>
      </c>
      <c r="K73" s="127">
        <f>Table6[[#This Row],[Total Value Including Tax]]-Table6[[#This Row],[Less GST Tax @5.5%]]</f>
        <v>21829.5</v>
      </c>
      <c r="L73" s="127">
        <f>Table6[[#This Row],[Remaining Value]]-Table6[[#This Row],[Add GST Tax @18% Full]]</f>
        <v>21829.5</v>
      </c>
      <c r="M73" s="127"/>
      <c r="N73" s="127">
        <f>Table6[[#This Row],[Less GST Tax @18% Value]]-Table6[[#This Row],[Transfer Amount]]</f>
        <v>21829.5</v>
      </c>
    </row>
    <row r="74" spans="1:14" ht="21.95" customHeight="1" x14ac:dyDescent="0.35">
      <c r="A74" s="69">
        <v>45940</v>
      </c>
      <c r="B74" s="70">
        <v>9101</v>
      </c>
      <c r="C74" s="71"/>
      <c r="D74" s="84">
        <v>342036</v>
      </c>
      <c r="E74" s="84">
        <v>0</v>
      </c>
      <c r="F74" s="84">
        <v>342036</v>
      </c>
      <c r="G74" s="84">
        <v>0</v>
      </c>
      <c r="H74" s="84">
        <v>342036</v>
      </c>
      <c r="I74" s="85"/>
      <c r="J74" s="86">
        <f>Table6[[#This Row],[Total Value Including Tax]]*$J$5</f>
        <v>18811.98</v>
      </c>
      <c r="K74" s="86">
        <f>Table6[[#This Row],[Total Value Including Tax]]-Table6[[#This Row],[Less GST Tax @5.5%]]</f>
        <v>323224.02</v>
      </c>
      <c r="L74" s="86">
        <f>Table6[[#This Row],[Remaining Value]]-Table6[[#This Row],[Add GST Tax @18% Full]]</f>
        <v>323224.02</v>
      </c>
      <c r="M74" s="86"/>
      <c r="N74" s="86">
        <f>Table6[[#This Row],[Less GST Tax @18% Value]]-Table6[[#This Row],[Transfer Amount]]</f>
        <v>323224.02</v>
      </c>
    </row>
    <row r="75" spans="1:14" ht="21.95" customHeight="1" x14ac:dyDescent="0.35">
      <c r="A75" s="69">
        <v>45943</v>
      </c>
      <c r="B75" s="70">
        <v>9102</v>
      </c>
      <c r="C75" s="71"/>
      <c r="D75" s="84">
        <v>19478</v>
      </c>
      <c r="E75" s="84">
        <v>0</v>
      </c>
      <c r="F75" s="84">
        <v>19478</v>
      </c>
      <c r="G75" s="84">
        <v>0</v>
      </c>
      <c r="H75" s="84">
        <v>19478</v>
      </c>
      <c r="I75" s="85"/>
      <c r="J75" s="86">
        <f>Table6[[#This Row],[Total Value Including Tax]]*$J$5</f>
        <v>1071.29</v>
      </c>
      <c r="K75" s="86">
        <f>Table6[[#This Row],[Total Value Including Tax]]-Table6[[#This Row],[Less GST Tax @5.5%]]</f>
        <v>18406.71</v>
      </c>
      <c r="L75" s="86">
        <f>Table6[[#This Row],[Remaining Value]]-Table6[[#This Row],[Add GST Tax @18% Full]]</f>
        <v>18406.71</v>
      </c>
      <c r="M75" s="86"/>
      <c r="N75" s="86">
        <f>Table6[[#This Row],[Less GST Tax @18% Value]]-Table6[[#This Row],[Transfer Amount]]</f>
        <v>18406.71</v>
      </c>
    </row>
    <row r="76" spans="1:14" ht="21.95" customHeight="1" x14ac:dyDescent="0.35">
      <c r="A76" s="122">
        <v>45944</v>
      </c>
      <c r="B76" s="123">
        <v>9103</v>
      </c>
      <c r="C76" s="124"/>
      <c r="D76" s="125">
        <v>12000</v>
      </c>
      <c r="E76" s="125">
        <v>0</v>
      </c>
      <c r="F76" s="125">
        <v>12000</v>
      </c>
      <c r="G76" s="125">
        <v>0</v>
      </c>
      <c r="H76" s="125">
        <v>12000</v>
      </c>
      <c r="I76" s="126"/>
      <c r="J76" s="127">
        <f>Table6[[#This Row],[Total Value Including Tax]]*$J$5</f>
        <v>660</v>
      </c>
      <c r="K76" s="127">
        <f>Table6[[#This Row],[Total Value Including Tax]]-Table6[[#This Row],[Less GST Tax @5.5%]]</f>
        <v>11340</v>
      </c>
      <c r="L76" s="127">
        <f>Table6[[#This Row],[Remaining Value]]-Table6[[#This Row],[Add GST Tax @18% Full]]</f>
        <v>11340</v>
      </c>
      <c r="M76" s="127"/>
      <c r="N76" s="127">
        <f>Table6[[#This Row],[Less GST Tax @18% Value]]-Table6[[#This Row],[Transfer Amount]]</f>
        <v>11340</v>
      </c>
    </row>
    <row r="77" spans="1:14" ht="21.95" customHeight="1" x14ac:dyDescent="0.35">
      <c r="A77" s="122">
        <v>45945</v>
      </c>
      <c r="B77" s="123">
        <v>9104</v>
      </c>
      <c r="C77" s="124"/>
      <c r="D77" s="125">
        <v>67724</v>
      </c>
      <c r="E77" s="125">
        <v>0</v>
      </c>
      <c r="F77" s="125">
        <v>67724</v>
      </c>
      <c r="G77" s="125">
        <v>0</v>
      </c>
      <c r="H77" s="125">
        <v>67724</v>
      </c>
      <c r="I77" s="126"/>
      <c r="J77" s="127">
        <f>Table6[[#This Row],[Total Value Including Tax]]*$J$5</f>
        <v>3724.82</v>
      </c>
      <c r="K77" s="127">
        <f>Table6[[#This Row],[Total Value Including Tax]]-Table6[[#This Row],[Less GST Tax @5.5%]]</f>
        <v>63999.18</v>
      </c>
      <c r="L77" s="127">
        <f>Table6[[#This Row],[Remaining Value]]-Table6[[#This Row],[Add GST Tax @18% Full]]</f>
        <v>63999.18</v>
      </c>
      <c r="M77" s="127"/>
      <c r="N77" s="127">
        <f>Table6[[#This Row],[Less GST Tax @18% Value]]-Table6[[#This Row],[Transfer Amount]]</f>
        <v>63999.18</v>
      </c>
    </row>
    <row r="78" spans="1:14" ht="21.95" customHeight="1" x14ac:dyDescent="0.35">
      <c r="A78" s="69">
        <v>45945</v>
      </c>
      <c r="B78" s="70">
        <v>9105</v>
      </c>
      <c r="C78" s="71"/>
      <c r="D78" s="84">
        <v>3000</v>
      </c>
      <c r="E78" s="84">
        <v>0</v>
      </c>
      <c r="F78" s="84">
        <v>3000</v>
      </c>
      <c r="G78" s="84">
        <v>0</v>
      </c>
      <c r="H78" s="84">
        <v>3000</v>
      </c>
      <c r="I78" s="85"/>
      <c r="J78" s="86">
        <f>Table6[[#This Row],[Total Value Including Tax]]*$J$5</f>
        <v>165</v>
      </c>
      <c r="K78" s="86">
        <f>Table6[[#This Row],[Total Value Including Tax]]-Table6[[#This Row],[Less GST Tax @5.5%]]</f>
        <v>2835</v>
      </c>
      <c r="L78" s="86">
        <f>Table6[[#This Row],[Remaining Value]]-Table6[[#This Row],[Add GST Tax @18% Full]]</f>
        <v>2835</v>
      </c>
      <c r="M78" s="86"/>
      <c r="N78" s="86">
        <f>Table6[[#This Row],[Less GST Tax @18% Value]]-Table6[[#This Row],[Transfer Amount]]</f>
        <v>2835</v>
      </c>
    </row>
    <row r="79" spans="1:14" ht="21.95" customHeight="1" x14ac:dyDescent="0.35">
      <c r="A79" s="122">
        <v>45950</v>
      </c>
      <c r="B79" s="123">
        <v>9106</v>
      </c>
      <c r="C79" s="124"/>
      <c r="D79" s="125">
        <v>37600</v>
      </c>
      <c r="E79" s="125">
        <v>0</v>
      </c>
      <c r="F79" s="125">
        <v>37600</v>
      </c>
      <c r="G79" s="125">
        <v>0</v>
      </c>
      <c r="H79" s="125">
        <v>37600</v>
      </c>
      <c r="I79" s="126"/>
      <c r="J79" s="127">
        <f>Table6[[#This Row],[Total Value Including Tax]]*$J$5</f>
        <v>2068</v>
      </c>
      <c r="K79" s="127">
        <f>Table6[[#This Row],[Total Value Including Tax]]-Table6[[#This Row],[Less GST Tax @5.5%]]</f>
        <v>35532</v>
      </c>
      <c r="L79" s="127">
        <f>Table6[[#This Row],[Remaining Value]]-Table6[[#This Row],[Add GST Tax @18% Full]]</f>
        <v>35532</v>
      </c>
      <c r="M79" s="127"/>
      <c r="N79" s="127">
        <f>Table6[[#This Row],[Less GST Tax @18% Value]]-Table6[[#This Row],[Transfer Amount]]</f>
        <v>35532</v>
      </c>
    </row>
    <row r="80" spans="1:14" ht="21.95" customHeight="1" x14ac:dyDescent="0.35">
      <c r="A80" s="69">
        <v>45951</v>
      </c>
      <c r="B80" s="70">
        <v>9107</v>
      </c>
      <c r="C80" s="71"/>
      <c r="D80" s="84">
        <v>30792</v>
      </c>
      <c r="E80" s="84">
        <v>0</v>
      </c>
      <c r="F80" s="84">
        <v>30792</v>
      </c>
      <c r="G80" s="84">
        <v>0</v>
      </c>
      <c r="H80" s="84">
        <v>30792</v>
      </c>
      <c r="I80" s="85"/>
      <c r="J80" s="86">
        <f>Table6[[#This Row],[Total Value Including Tax]]*$J$5</f>
        <v>1693.56</v>
      </c>
      <c r="K80" s="86">
        <f>Table6[[#This Row],[Total Value Including Tax]]-Table6[[#This Row],[Less GST Tax @5.5%]]</f>
        <v>29098.44</v>
      </c>
      <c r="L80" s="86">
        <f>Table6[[#This Row],[Remaining Value]]-Table6[[#This Row],[Add GST Tax @18% Full]]</f>
        <v>29098.44</v>
      </c>
      <c r="M80" s="86"/>
      <c r="N80" s="86">
        <f>Table6[[#This Row],[Less GST Tax @18% Value]]-Table6[[#This Row],[Transfer Amount]]</f>
        <v>29098.44</v>
      </c>
    </row>
    <row r="81" spans="1:14" ht="21.95" customHeight="1" x14ac:dyDescent="0.35">
      <c r="A81" s="69">
        <v>45951</v>
      </c>
      <c r="B81" s="70">
        <v>9108</v>
      </c>
      <c r="C81" s="71"/>
      <c r="D81" s="84">
        <v>10264</v>
      </c>
      <c r="E81" s="84">
        <v>0</v>
      </c>
      <c r="F81" s="84">
        <v>10264</v>
      </c>
      <c r="G81" s="84">
        <v>0</v>
      </c>
      <c r="H81" s="84">
        <v>10264</v>
      </c>
      <c r="I81" s="85"/>
      <c r="J81" s="86">
        <f>Table6[[#This Row],[Total Value Including Tax]]*$J$5</f>
        <v>564.52</v>
      </c>
      <c r="K81" s="86">
        <f>Table6[[#This Row],[Total Value Including Tax]]-Table6[[#This Row],[Less GST Tax @5.5%]]</f>
        <v>9699.48</v>
      </c>
      <c r="L81" s="86">
        <f>Table6[[#This Row],[Remaining Value]]-Table6[[#This Row],[Add GST Tax @18% Full]]</f>
        <v>9699.48</v>
      </c>
      <c r="M81" s="86"/>
      <c r="N81" s="86">
        <f>Table6[[#This Row],[Less GST Tax @18% Value]]-Table6[[#This Row],[Transfer Amount]]</f>
        <v>9699.48</v>
      </c>
    </row>
    <row r="82" spans="1:14" ht="21.95" customHeight="1" x14ac:dyDescent="0.35">
      <c r="A82" s="69">
        <v>45954</v>
      </c>
      <c r="B82" s="70">
        <v>9109</v>
      </c>
      <c r="C82" s="71"/>
      <c r="D82" s="84">
        <v>10500</v>
      </c>
      <c r="E82" s="84">
        <v>0</v>
      </c>
      <c r="F82" s="84">
        <v>10500</v>
      </c>
      <c r="G82" s="84">
        <v>0</v>
      </c>
      <c r="H82" s="84">
        <v>10500</v>
      </c>
      <c r="I82" s="85"/>
      <c r="J82" s="86">
        <f>Table6[[#This Row],[Total Value Including Tax]]*$J$5</f>
        <v>577.5</v>
      </c>
      <c r="K82" s="86">
        <f>Table6[[#This Row],[Total Value Including Tax]]-Table6[[#This Row],[Less GST Tax @5.5%]]</f>
        <v>9922.5</v>
      </c>
      <c r="L82" s="86">
        <f>Table6[[#This Row],[Remaining Value]]-Table6[[#This Row],[Add GST Tax @18% Full]]</f>
        <v>9922.5</v>
      </c>
      <c r="M82" s="86"/>
      <c r="N82" s="86">
        <f>Table6[[#This Row],[Less GST Tax @18% Value]]-Table6[[#This Row],[Transfer Amount]]</f>
        <v>9922.5</v>
      </c>
    </row>
    <row r="83" spans="1:14" ht="21.95" customHeight="1" x14ac:dyDescent="0.35">
      <c r="A83" s="69">
        <v>45957</v>
      </c>
      <c r="B83" s="70">
        <v>9111</v>
      </c>
      <c r="C83" s="71"/>
      <c r="D83" s="84">
        <v>7500</v>
      </c>
      <c r="E83" s="84">
        <v>0</v>
      </c>
      <c r="F83" s="84">
        <v>7500</v>
      </c>
      <c r="G83" s="84">
        <v>0</v>
      </c>
      <c r="H83" s="84">
        <v>7500</v>
      </c>
      <c r="I83" s="85"/>
      <c r="J83" s="86">
        <f>Table6[[#This Row],[Total Value Including Tax]]*$J$5</f>
        <v>412.5</v>
      </c>
      <c r="K83" s="86">
        <f>Table6[[#This Row],[Total Value Including Tax]]-Table6[[#This Row],[Less GST Tax @5.5%]]</f>
        <v>7087.5</v>
      </c>
      <c r="L83" s="86">
        <f>Table6[[#This Row],[Remaining Value]]-Table6[[#This Row],[Add GST Tax @18% Full]]</f>
        <v>7087.5</v>
      </c>
      <c r="M83" s="86"/>
      <c r="N83" s="86">
        <f>Table6[[#This Row],[Less GST Tax @18% Value]]-Table6[[#This Row],[Transfer Amount]]</f>
        <v>7087.5</v>
      </c>
    </row>
    <row r="84" spans="1:14" ht="21.95" customHeight="1" x14ac:dyDescent="0.35">
      <c r="A84" s="69">
        <v>45958</v>
      </c>
      <c r="B84" s="70">
        <v>9112</v>
      </c>
      <c r="C84" s="71"/>
      <c r="D84" s="84">
        <v>7000</v>
      </c>
      <c r="E84" s="84">
        <v>0</v>
      </c>
      <c r="F84" s="84">
        <v>7000</v>
      </c>
      <c r="G84" s="84">
        <v>0</v>
      </c>
      <c r="H84" s="84">
        <v>7000</v>
      </c>
      <c r="I84" s="85"/>
      <c r="J84" s="86">
        <f>Table6[[#This Row],[Total Value Including Tax]]*$J$5</f>
        <v>385</v>
      </c>
      <c r="K84" s="86">
        <f>Table6[[#This Row],[Total Value Including Tax]]-Table6[[#This Row],[Less GST Tax @5.5%]]</f>
        <v>6615</v>
      </c>
      <c r="L84" s="86">
        <f>Table6[[#This Row],[Remaining Value]]-Table6[[#This Row],[Add GST Tax @18% Full]]</f>
        <v>6615</v>
      </c>
      <c r="M84" s="86"/>
      <c r="N84" s="86">
        <f>Table6[[#This Row],[Less GST Tax @18% Value]]-Table6[[#This Row],[Transfer Amount]]</f>
        <v>6615</v>
      </c>
    </row>
    <row r="85" spans="1:14" ht="21.95" customHeight="1" x14ac:dyDescent="0.35">
      <c r="A85" s="69">
        <v>45960</v>
      </c>
      <c r="B85" s="70">
        <v>9112</v>
      </c>
      <c r="C85" s="71"/>
      <c r="D85" s="84">
        <v>13200</v>
      </c>
      <c r="E85" s="84">
        <v>0</v>
      </c>
      <c r="F85" s="84">
        <v>13200</v>
      </c>
      <c r="G85" s="84">
        <v>0</v>
      </c>
      <c r="H85" s="84">
        <v>13200</v>
      </c>
      <c r="I85" s="85"/>
      <c r="J85" s="86">
        <f>Table6[[#This Row],[Total Value Including Tax]]*$J$5</f>
        <v>726</v>
      </c>
      <c r="K85" s="86">
        <f>Table6[[#This Row],[Total Value Including Tax]]-Table6[[#This Row],[Less GST Tax @5.5%]]</f>
        <v>12474</v>
      </c>
      <c r="L85" s="86">
        <f>Table6[[#This Row],[Remaining Value]]-Table6[[#This Row],[Add GST Tax @18% Full]]</f>
        <v>12474</v>
      </c>
      <c r="M85" s="86"/>
      <c r="N85" s="86">
        <f>Table6[[#This Row],[Less GST Tax @18% Value]]-Table6[[#This Row],[Transfer Amount]]</f>
        <v>12474</v>
      </c>
    </row>
    <row r="86" spans="1:14" ht="21.95" customHeight="1" x14ac:dyDescent="0.35">
      <c r="A86" s="69">
        <v>45961</v>
      </c>
      <c r="B86" s="70">
        <v>9113</v>
      </c>
      <c r="C86" s="71"/>
      <c r="D86" s="84">
        <v>3900</v>
      </c>
      <c r="E86" s="84">
        <v>0</v>
      </c>
      <c r="F86" s="84">
        <v>3900</v>
      </c>
      <c r="G86" s="84">
        <v>0</v>
      </c>
      <c r="H86" s="84">
        <v>3900</v>
      </c>
      <c r="I86" s="85"/>
      <c r="J86" s="86">
        <f>Table6[[#This Row],[Total Value Including Tax]]*$J$5</f>
        <v>214.5</v>
      </c>
      <c r="K86" s="86">
        <f>Table6[[#This Row],[Total Value Including Tax]]-Table6[[#This Row],[Less GST Tax @5.5%]]</f>
        <v>3685.5</v>
      </c>
      <c r="L86" s="86">
        <f>Table6[[#This Row],[Remaining Value]]-Table6[[#This Row],[Add GST Tax @18% Full]]</f>
        <v>3685.5</v>
      </c>
      <c r="M86" s="86"/>
      <c r="N86" s="86">
        <f>Table6[[#This Row],[Less GST Tax @18% Value]]-Table6[[#This Row],[Transfer Amount]]</f>
        <v>3685.5</v>
      </c>
    </row>
    <row r="87" spans="1:14" ht="21.95" customHeight="1" x14ac:dyDescent="0.35">
      <c r="A87" s="69">
        <v>45965</v>
      </c>
      <c r="B87" s="70">
        <v>9114</v>
      </c>
      <c r="C87" s="71"/>
      <c r="D87" s="84">
        <v>6100</v>
      </c>
      <c r="E87" s="84">
        <v>0</v>
      </c>
      <c r="F87" s="84">
        <v>6100</v>
      </c>
      <c r="G87" s="84">
        <v>0</v>
      </c>
      <c r="H87" s="84">
        <v>6100</v>
      </c>
      <c r="I87" s="85"/>
      <c r="J87" s="86">
        <f>Table6[[#This Row],[Total Value Including Tax]]*$J$5</f>
        <v>335.5</v>
      </c>
      <c r="K87" s="86">
        <f>Table6[[#This Row],[Total Value Including Tax]]-Table6[[#This Row],[Less GST Tax @5.5%]]</f>
        <v>5764.5</v>
      </c>
      <c r="L87" s="86">
        <f>Table6[[#This Row],[Remaining Value]]-Table6[[#This Row],[Add GST Tax @18% Full]]</f>
        <v>5764.5</v>
      </c>
      <c r="M87" s="86"/>
      <c r="N87" s="86">
        <f>Table6[[#This Row],[Less GST Tax @18% Value]]-Table6[[#This Row],[Transfer Amount]]</f>
        <v>5764.5</v>
      </c>
    </row>
    <row r="88" spans="1:14" ht="21.95" customHeight="1" x14ac:dyDescent="0.35">
      <c r="A88" s="69">
        <v>45966</v>
      </c>
      <c r="B88" s="70">
        <v>9115</v>
      </c>
      <c r="C88" s="71"/>
      <c r="D88" s="84">
        <v>1500</v>
      </c>
      <c r="E88" s="84">
        <v>0</v>
      </c>
      <c r="F88" s="84">
        <v>1500</v>
      </c>
      <c r="G88" s="84">
        <v>0</v>
      </c>
      <c r="H88" s="84">
        <v>1500</v>
      </c>
      <c r="I88" s="85"/>
      <c r="J88" s="86">
        <f>Table6[[#This Row],[Total Value Including Tax]]*$J$5</f>
        <v>82.5</v>
      </c>
      <c r="K88" s="86">
        <f>Table6[[#This Row],[Total Value Including Tax]]-Table6[[#This Row],[Less GST Tax @5.5%]]</f>
        <v>1417.5</v>
      </c>
      <c r="L88" s="86">
        <f>Table6[[#This Row],[Remaining Value]]-Table6[[#This Row],[Add GST Tax @18% Full]]</f>
        <v>1417.5</v>
      </c>
      <c r="M88" s="86"/>
      <c r="N88" s="86">
        <f>Table6[[#This Row],[Less GST Tax @18% Value]]-Table6[[#This Row],[Transfer Amount]]</f>
        <v>1417.5</v>
      </c>
    </row>
    <row r="89" spans="1:14" ht="21.95" customHeight="1" x14ac:dyDescent="0.35">
      <c r="A89" s="69">
        <v>45967</v>
      </c>
      <c r="B89" s="70">
        <v>9116</v>
      </c>
      <c r="C89" s="71"/>
      <c r="D89" s="84">
        <v>66940</v>
      </c>
      <c r="E89" s="84">
        <v>0</v>
      </c>
      <c r="F89" s="84">
        <v>66940</v>
      </c>
      <c r="G89" s="84">
        <v>0</v>
      </c>
      <c r="H89" s="84">
        <v>66940</v>
      </c>
      <c r="I89" s="85"/>
      <c r="J89" s="86">
        <f>Table6[[#This Row],[Total Value Including Tax]]*$J$5</f>
        <v>3681.7</v>
      </c>
      <c r="K89" s="86">
        <f>Table6[[#This Row],[Total Value Including Tax]]-Table6[[#This Row],[Less GST Tax @5.5%]]</f>
        <v>63258.3</v>
      </c>
      <c r="L89" s="86">
        <f>Table6[[#This Row],[Remaining Value]]-Table6[[#This Row],[Add GST Tax @18% Full]]</f>
        <v>63258.3</v>
      </c>
      <c r="M89" s="86"/>
      <c r="N89" s="86">
        <f>Table6[[#This Row],[Less GST Tax @18% Value]]-Table6[[#This Row],[Transfer Amount]]</f>
        <v>63258.3</v>
      </c>
    </row>
    <row r="90" spans="1:14" ht="21.95" customHeight="1" x14ac:dyDescent="0.35">
      <c r="A90" s="122">
        <v>45967</v>
      </c>
      <c r="B90" s="123">
        <v>9117</v>
      </c>
      <c r="C90" s="124"/>
      <c r="D90" s="125">
        <v>15000</v>
      </c>
      <c r="E90" s="125">
        <v>0</v>
      </c>
      <c r="F90" s="125">
        <v>15000</v>
      </c>
      <c r="G90" s="125">
        <v>0</v>
      </c>
      <c r="H90" s="125">
        <v>15000</v>
      </c>
      <c r="I90" s="126"/>
      <c r="J90" s="127">
        <f>Table6[[#This Row],[Total Value Including Tax]]*$J$5</f>
        <v>825</v>
      </c>
      <c r="K90" s="127">
        <f>Table6[[#This Row],[Total Value Including Tax]]-Table6[[#This Row],[Less GST Tax @5.5%]]</f>
        <v>14175</v>
      </c>
      <c r="L90" s="127">
        <f>Table6[[#This Row],[Remaining Value]]-Table6[[#This Row],[Add GST Tax @18% Full]]</f>
        <v>14175</v>
      </c>
      <c r="M90" s="127"/>
      <c r="N90" s="127">
        <f>Table6[[#This Row],[Less GST Tax @18% Value]]-Table6[[#This Row],[Transfer Amount]]</f>
        <v>14175</v>
      </c>
    </row>
    <row r="91" spans="1:14" ht="21.95" customHeight="1" x14ac:dyDescent="0.35">
      <c r="A91" s="122">
        <v>45971</v>
      </c>
      <c r="B91" s="123">
        <v>9118</v>
      </c>
      <c r="C91" s="124"/>
      <c r="D91" s="125">
        <v>14000</v>
      </c>
      <c r="E91" s="125">
        <v>0</v>
      </c>
      <c r="F91" s="125">
        <v>14000</v>
      </c>
      <c r="G91" s="125">
        <v>0</v>
      </c>
      <c r="H91" s="125">
        <v>14000</v>
      </c>
      <c r="I91" s="126"/>
      <c r="J91" s="127">
        <f>Table6[[#This Row],[Total Value Including Tax]]*$J$5</f>
        <v>770</v>
      </c>
      <c r="K91" s="127">
        <f>Table6[[#This Row],[Total Value Including Tax]]-Table6[[#This Row],[Less GST Tax @5.5%]]</f>
        <v>13230</v>
      </c>
      <c r="L91" s="127">
        <f>Table6[[#This Row],[Remaining Value]]-Table6[[#This Row],[Add GST Tax @18% Full]]</f>
        <v>13230</v>
      </c>
      <c r="M91" s="127"/>
      <c r="N91" s="127">
        <f>Table6[[#This Row],[Less GST Tax @18% Value]]-Table6[[#This Row],[Transfer Amount]]</f>
        <v>13230</v>
      </c>
    </row>
    <row r="92" spans="1:14" ht="21.95" customHeight="1" x14ac:dyDescent="0.35">
      <c r="A92" s="69">
        <v>45973</v>
      </c>
      <c r="B92" s="70">
        <v>9119</v>
      </c>
      <c r="C92" s="71"/>
      <c r="D92" s="84">
        <v>15000</v>
      </c>
      <c r="E92" s="84">
        <v>0</v>
      </c>
      <c r="F92" s="84">
        <v>15000</v>
      </c>
      <c r="G92" s="84">
        <v>0</v>
      </c>
      <c r="H92" s="84">
        <v>15000</v>
      </c>
      <c r="I92" s="85"/>
      <c r="J92" s="86">
        <f>Table6[[#This Row],[Total Value Including Tax]]*$J$5</f>
        <v>825</v>
      </c>
      <c r="K92" s="86">
        <f>Table6[[#This Row],[Total Value Including Tax]]-Table6[[#This Row],[Less GST Tax @5.5%]]</f>
        <v>14175</v>
      </c>
      <c r="L92" s="86">
        <f>Table6[[#This Row],[Remaining Value]]-Table6[[#This Row],[Add GST Tax @18% Full]]</f>
        <v>14175</v>
      </c>
      <c r="M92" s="86"/>
      <c r="N92" s="86">
        <f>Table6[[#This Row],[Less GST Tax @18% Value]]-Table6[[#This Row],[Transfer Amount]]</f>
        <v>14175</v>
      </c>
    </row>
    <row r="93" spans="1:14" ht="21.95" customHeight="1" x14ac:dyDescent="0.35">
      <c r="A93" s="69">
        <v>45975</v>
      </c>
      <c r="B93" s="70">
        <v>9120</v>
      </c>
      <c r="C93" s="71"/>
      <c r="D93" s="84">
        <v>17500</v>
      </c>
      <c r="E93" s="84">
        <v>0</v>
      </c>
      <c r="F93" s="84">
        <v>17500</v>
      </c>
      <c r="G93" s="84">
        <v>0</v>
      </c>
      <c r="H93" s="84">
        <v>17500</v>
      </c>
      <c r="I93" s="85"/>
      <c r="J93" s="86">
        <f>Table6[[#This Row],[Total Value Including Tax]]*$J$5</f>
        <v>962.5</v>
      </c>
      <c r="K93" s="86">
        <f>Table6[[#This Row],[Total Value Including Tax]]-Table6[[#This Row],[Less GST Tax @5.5%]]</f>
        <v>16537.5</v>
      </c>
      <c r="L93" s="86">
        <f>Table6[[#This Row],[Remaining Value]]-Table6[[#This Row],[Add GST Tax @18% Full]]</f>
        <v>16537.5</v>
      </c>
      <c r="M93" s="86"/>
      <c r="N93" s="86">
        <f>Table6[[#This Row],[Less GST Tax @18% Value]]-Table6[[#This Row],[Transfer Amount]]</f>
        <v>16537.5</v>
      </c>
    </row>
    <row r="94" spans="1:14" ht="21.95" customHeight="1" x14ac:dyDescent="0.35">
      <c r="A94" s="122">
        <v>45975</v>
      </c>
      <c r="B94" s="123">
        <v>9121</v>
      </c>
      <c r="C94" s="124"/>
      <c r="D94" s="125">
        <v>1128000</v>
      </c>
      <c r="E94" s="125">
        <v>0</v>
      </c>
      <c r="F94" s="125">
        <v>1128000</v>
      </c>
      <c r="G94" s="125">
        <v>0</v>
      </c>
      <c r="H94" s="125">
        <v>1128000</v>
      </c>
      <c r="I94" s="126"/>
      <c r="J94" s="127">
        <f>Table6[[#This Row],[Total Value Including Tax]]*$J$5</f>
        <v>62040</v>
      </c>
      <c r="K94" s="127">
        <f>Table6[[#This Row],[Total Value Including Tax]]-Table6[[#This Row],[Less GST Tax @5.5%]]</f>
        <v>1065960</v>
      </c>
      <c r="L94" s="127">
        <f>Table6[[#This Row],[Remaining Value]]-Table6[[#This Row],[Add GST Tax @18% Full]]</f>
        <v>1065960</v>
      </c>
      <c r="M94" s="127"/>
      <c r="N94" s="127">
        <f>Table6[[#This Row],[Less GST Tax @18% Value]]-Table6[[#This Row],[Transfer Amount]]</f>
        <v>1065960</v>
      </c>
    </row>
    <row r="95" spans="1:14" ht="21.95" customHeight="1" x14ac:dyDescent="0.35">
      <c r="A95" s="69">
        <v>45975</v>
      </c>
      <c r="B95" s="70">
        <v>9122</v>
      </c>
      <c r="C95" s="71"/>
      <c r="D95" s="84">
        <v>282000</v>
      </c>
      <c r="E95" s="84">
        <v>0</v>
      </c>
      <c r="F95" s="84">
        <v>282000</v>
      </c>
      <c r="G95" s="84">
        <v>0</v>
      </c>
      <c r="H95" s="84">
        <v>282000</v>
      </c>
      <c r="I95" s="85"/>
      <c r="J95" s="86">
        <f>Table6[[#This Row],[Total Value Including Tax]]*$J$5</f>
        <v>15510</v>
      </c>
      <c r="K95" s="86">
        <f>Table6[[#This Row],[Total Value Including Tax]]-Table6[[#This Row],[Less GST Tax @5.5%]]</f>
        <v>266490</v>
      </c>
      <c r="L95" s="86">
        <f>Table6[[#This Row],[Remaining Value]]-Table6[[#This Row],[Add GST Tax @18% Full]]</f>
        <v>266490</v>
      </c>
      <c r="M95" s="86"/>
      <c r="N95" s="86">
        <f>Table6[[#This Row],[Less GST Tax @18% Value]]-Table6[[#This Row],[Transfer Amount]]</f>
        <v>266490</v>
      </c>
    </row>
    <row r="96" spans="1:14" ht="21.95" customHeight="1" x14ac:dyDescent="0.35">
      <c r="A96" s="69">
        <v>45981</v>
      </c>
      <c r="B96" s="70">
        <v>9123</v>
      </c>
      <c r="C96" s="71"/>
      <c r="D96" s="84">
        <v>10000</v>
      </c>
      <c r="E96" s="84">
        <v>0</v>
      </c>
      <c r="F96" s="84">
        <v>10000</v>
      </c>
      <c r="G96" s="84">
        <v>0</v>
      </c>
      <c r="H96" s="84">
        <v>10000</v>
      </c>
      <c r="I96" s="85"/>
      <c r="J96" s="86">
        <f>Table6[[#This Row],[Total Value Including Tax]]*$J$5</f>
        <v>550</v>
      </c>
      <c r="K96" s="86">
        <f>Table6[[#This Row],[Total Value Including Tax]]-Table6[[#This Row],[Less GST Tax @5.5%]]</f>
        <v>9450</v>
      </c>
      <c r="L96" s="86">
        <f>Table6[[#This Row],[Remaining Value]]-Table6[[#This Row],[Add GST Tax @18% Full]]</f>
        <v>9450</v>
      </c>
      <c r="M96" s="86"/>
      <c r="N96" s="86">
        <f>Table6[[#This Row],[Less GST Tax @18% Value]]-Table6[[#This Row],[Transfer Amount]]</f>
        <v>9450</v>
      </c>
    </row>
    <row r="97" spans="1:14" ht="21.95" customHeight="1" x14ac:dyDescent="0.35">
      <c r="A97" s="69">
        <v>45982</v>
      </c>
      <c r="B97" s="70">
        <v>9124</v>
      </c>
      <c r="C97" s="71"/>
      <c r="D97" s="84">
        <v>4000</v>
      </c>
      <c r="E97" s="84">
        <v>0</v>
      </c>
      <c r="F97" s="84">
        <v>4000</v>
      </c>
      <c r="G97" s="84">
        <v>0</v>
      </c>
      <c r="H97" s="84">
        <v>4000</v>
      </c>
      <c r="I97" s="85"/>
      <c r="J97" s="86">
        <f>Table6[[#This Row],[Total Value Including Tax]]*$J$5</f>
        <v>220</v>
      </c>
      <c r="K97" s="86">
        <f>Table6[[#This Row],[Total Value Including Tax]]-Table6[[#This Row],[Less GST Tax @5.5%]]</f>
        <v>3780</v>
      </c>
      <c r="L97" s="86">
        <f>Table6[[#This Row],[Remaining Value]]-Table6[[#This Row],[Add GST Tax @18% Full]]</f>
        <v>3780</v>
      </c>
      <c r="M97" s="86"/>
      <c r="N97" s="86">
        <f>Table6[[#This Row],[Less GST Tax @18% Value]]-Table6[[#This Row],[Transfer Amount]]</f>
        <v>3780</v>
      </c>
    </row>
    <row r="98" spans="1:14" ht="21.95" customHeight="1" x14ac:dyDescent="0.35">
      <c r="A98" s="69">
        <v>45985</v>
      </c>
      <c r="B98" s="70">
        <v>9125</v>
      </c>
      <c r="C98" s="71"/>
      <c r="D98" s="84">
        <v>8000</v>
      </c>
      <c r="E98" s="84">
        <v>0</v>
      </c>
      <c r="F98" s="84">
        <v>8000</v>
      </c>
      <c r="G98" s="84">
        <v>0</v>
      </c>
      <c r="H98" s="84">
        <v>8000</v>
      </c>
      <c r="I98" s="85"/>
      <c r="J98" s="86">
        <f>Table6[[#This Row],[Total Value Including Tax]]*$J$5</f>
        <v>440</v>
      </c>
      <c r="K98" s="86">
        <f>Table6[[#This Row],[Total Value Including Tax]]-Table6[[#This Row],[Less GST Tax @5.5%]]</f>
        <v>7560</v>
      </c>
      <c r="L98" s="86">
        <f>Table6[[#This Row],[Remaining Value]]-Table6[[#This Row],[Add GST Tax @18% Full]]</f>
        <v>7560</v>
      </c>
      <c r="M98" s="86"/>
      <c r="N98" s="86">
        <f>Table6[[#This Row],[Less GST Tax @18% Value]]-Table6[[#This Row],[Transfer Amount]]</f>
        <v>7560</v>
      </c>
    </row>
    <row r="99" spans="1:14" ht="21.95" customHeight="1" x14ac:dyDescent="0.35">
      <c r="A99" s="69">
        <v>45985</v>
      </c>
      <c r="B99" s="70">
        <v>9126</v>
      </c>
      <c r="C99" s="71"/>
      <c r="D99" s="84">
        <v>116700</v>
      </c>
      <c r="E99" s="84">
        <v>0</v>
      </c>
      <c r="F99" s="84">
        <v>116700</v>
      </c>
      <c r="G99" s="84">
        <v>0</v>
      </c>
      <c r="H99" s="84">
        <v>116700</v>
      </c>
      <c r="I99" s="85"/>
      <c r="J99" s="86">
        <f>Table6[[#This Row],[Total Value Including Tax]]*$J$5</f>
        <v>6418.5</v>
      </c>
      <c r="K99" s="86">
        <f>Table6[[#This Row],[Total Value Including Tax]]-Table6[[#This Row],[Less GST Tax @5.5%]]</f>
        <v>110281.5</v>
      </c>
      <c r="L99" s="86">
        <f>Table6[[#This Row],[Remaining Value]]-Table6[[#This Row],[Add GST Tax @18% Full]]</f>
        <v>110281.5</v>
      </c>
      <c r="M99" s="86"/>
      <c r="N99" s="86">
        <f>Table6[[#This Row],[Less GST Tax @18% Value]]-Table6[[#This Row],[Transfer Amount]]</f>
        <v>110281.5</v>
      </c>
    </row>
    <row r="100" spans="1:14" ht="21.95" customHeight="1" x14ac:dyDescent="0.35">
      <c r="A100" s="69">
        <v>45985</v>
      </c>
      <c r="B100" s="70">
        <v>9127</v>
      </c>
      <c r="C100" s="71"/>
      <c r="D100" s="84">
        <v>2700</v>
      </c>
      <c r="E100" s="84">
        <v>0</v>
      </c>
      <c r="F100" s="84">
        <v>2700</v>
      </c>
      <c r="G100" s="84">
        <v>0</v>
      </c>
      <c r="H100" s="84">
        <v>2700</v>
      </c>
      <c r="I100" s="85"/>
      <c r="J100" s="86">
        <f>Table6[[#This Row],[Total Value Including Tax]]*$J$5</f>
        <v>148.5</v>
      </c>
      <c r="K100" s="86">
        <f>Table6[[#This Row],[Total Value Including Tax]]-Table6[[#This Row],[Less GST Tax @5.5%]]</f>
        <v>2551.5</v>
      </c>
      <c r="L100" s="86">
        <f>Table6[[#This Row],[Remaining Value]]-Table6[[#This Row],[Add GST Tax @18% Full]]</f>
        <v>2551.5</v>
      </c>
      <c r="M100" s="86"/>
      <c r="N100" s="86">
        <f>Table6[[#This Row],[Less GST Tax @18% Value]]-Table6[[#This Row],[Transfer Amount]]</f>
        <v>2551.5</v>
      </c>
    </row>
    <row r="101" spans="1:14" ht="21.95" customHeight="1" x14ac:dyDescent="0.35">
      <c r="A101" s="69">
        <v>45986</v>
      </c>
      <c r="B101" s="70">
        <v>9128</v>
      </c>
      <c r="C101" s="71"/>
      <c r="D101" s="84">
        <v>3000</v>
      </c>
      <c r="E101" s="84">
        <v>0</v>
      </c>
      <c r="F101" s="84">
        <v>3000</v>
      </c>
      <c r="G101" s="84">
        <v>0</v>
      </c>
      <c r="H101" s="84">
        <v>3000</v>
      </c>
      <c r="I101" s="85"/>
      <c r="J101" s="86">
        <f>Table6[[#This Row],[Total Value Including Tax]]*$J$5</f>
        <v>165</v>
      </c>
      <c r="K101" s="86">
        <f>Table6[[#This Row],[Total Value Including Tax]]-Table6[[#This Row],[Less GST Tax @5.5%]]</f>
        <v>2835</v>
      </c>
      <c r="L101" s="86">
        <f>Table6[[#This Row],[Remaining Value]]-Table6[[#This Row],[Add GST Tax @18% Full]]</f>
        <v>2835</v>
      </c>
      <c r="M101" s="86"/>
      <c r="N101" s="86">
        <f>Table6[[#This Row],[Less GST Tax @18% Value]]-Table6[[#This Row],[Transfer Amount]]</f>
        <v>2835</v>
      </c>
    </row>
    <row r="102" spans="1:14" ht="21.95" customHeight="1" x14ac:dyDescent="0.35">
      <c r="A102" s="69">
        <v>45996</v>
      </c>
      <c r="B102" s="70">
        <v>9130</v>
      </c>
      <c r="C102" s="71"/>
      <c r="D102" s="84">
        <v>6300</v>
      </c>
      <c r="E102" s="84">
        <v>0</v>
      </c>
      <c r="F102" s="84">
        <v>6300</v>
      </c>
      <c r="G102" s="84">
        <v>0</v>
      </c>
      <c r="H102" s="84">
        <v>6300</v>
      </c>
      <c r="I102" s="85"/>
      <c r="J102" s="86">
        <f>Table6[[#This Row],[Total Value Including Tax]]*$J$5</f>
        <v>346.5</v>
      </c>
      <c r="K102" s="86">
        <f>Table6[[#This Row],[Total Value Including Tax]]-Table6[[#This Row],[Less GST Tax @5.5%]]</f>
        <v>5953.5</v>
      </c>
      <c r="L102" s="86">
        <f>Table6[[#This Row],[Remaining Value]]-Table6[[#This Row],[Add GST Tax @18% Full]]</f>
        <v>5953.5</v>
      </c>
      <c r="M102" s="86"/>
      <c r="N102" s="86">
        <f>Table6[[#This Row],[Less GST Tax @18% Value]]-Table6[[#This Row],[Transfer Amount]]</f>
        <v>5953.5</v>
      </c>
    </row>
    <row r="103" spans="1:14" ht="21.95" customHeight="1" x14ac:dyDescent="0.35">
      <c r="A103" s="69">
        <v>45999</v>
      </c>
      <c r="B103" s="70">
        <v>9129</v>
      </c>
      <c r="C103" s="71"/>
      <c r="D103" s="84">
        <v>295700</v>
      </c>
      <c r="E103" s="84">
        <v>0</v>
      </c>
      <c r="F103" s="84">
        <v>295700</v>
      </c>
      <c r="G103" s="84">
        <v>0</v>
      </c>
      <c r="H103" s="84">
        <v>295700</v>
      </c>
      <c r="I103" s="85"/>
      <c r="J103" s="86">
        <f>Table6[[#This Row],[Total Value Including Tax]]*$J$5</f>
        <v>16263.5</v>
      </c>
      <c r="K103" s="86">
        <f>Table6[[#This Row],[Total Value Including Tax]]-Table6[[#This Row],[Less GST Tax @5.5%]]</f>
        <v>279436.5</v>
      </c>
      <c r="L103" s="86">
        <f>Table6[[#This Row],[Remaining Value]]-Table6[[#This Row],[Add GST Tax @18% Full]]</f>
        <v>279436.5</v>
      </c>
      <c r="M103" s="86"/>
      <c r="N103" s="86">
        <f>Table6[[#This Row],[Less GST Tax @18% Value]]-Table6[[#This Row],[Transfer Amount]]</f>
        <v>279436.5</v>
      </c>
    </row>
    <row r="104" spans="1:14" ht="21.95" customHeight="1" x14ac:dyDescent="0.35">
      <c r="A104" s="69">
        <v>46000</v>
      </c>
      <c r="B104" s="70">
        <v>9131</v>
      </c>
      <c r="C104" s="71"/>
      <c r="D104" s="84">
        <v>2012000</v>
      </c>
      <c r="E104" s="84">
        <v>0</v>
      </c>
      <c r="F104" s="84">
        <v>2012000</v>
      </c>
      <c r="G104" s="84">
        <v>0</v>
      </c>
      <c r="H104" s="84">
        <v>2012000</v>
      </c>
      <c r="I104" s="85"/>
      <c r="J104" s="86">
        <f>Table6[[#This Row],[Total Value Including Tax]]*$J$5</f>
        <v>110660</v>
      </c>
      <c r="K104" s="86">
        <f>Table6[[#This Row],[Total Value Including Tax]]-Table6[[#This Row],[Less GST Tax @5.5%]]</f>
        <v>1901340</v>
      </c>
      <c r="L104" s="86">
        <f>Table6[[#This Row],[Remaining Value]]-Table6[[#This Row],[Add GST Tax @18% Full]]</f>
        <v>1901340</v>
      </c>
      <c r="M104" s="86"/>
      <c r="N104" s="86">
        <f>Table6[[#This Row],[Less GST Tax @18% Value]]-Table6[[#This Row],[Transfer Amount]]</f>
        <v>1901340</v>
      </c>
    </row>
    <row r="105" spans="1:14" ht="21.95" customHeight="1" x14ac:dyDescent="0.35">
      <c r="A105" s="69">
        <v>46001</v>
      </c>
      <c r="B105" s="70">
        <v>9132</v>
      </c>
      <c r="C105" s="71"/>
      <c r="D105" s="84">
        <v>11000</v>
      </c>
      <c r="E105" s="84">
        <v>0</v>
      </c>
      <c r="F105" s="84">
        <v>11000</v>
      </c>
      <c r="G105" s="84">
        <v>0</v>
      </c>
      <c r="H105" s="84">
        <v>11000</v>
      </c>
      <c r="I105" s="85"/>
      <c r="J105" s="86">
        <f>Table6[[#This Row],[Total Value Including Tax]]*$J$5</f>
        <v>605</v>
      </c>
      <c r="K105" s="86">
        <f>Table6[[#This Row],[Total Value Including Tax]]-Table6[[#This Row],[Less GST Tax @5.5%]]</f>
        <v>10395</v>
      </c>
      <c r="L105" s="86">
        <f>Table6[[#This Row],[Remaining Value]]-Table6[[#This Row],[Add GST Tax @18% Full]]</f>
        <v>10395</v>
      </c>
      <c r="M105" s="86"/>
      <c r="N105" s="86">
        <f>Table6[[#This Row],[Less GST Tax @18% Value]]-Table6[[#This Row],[Transfer Amount]]</f>
        <v>10395</v>
      </c>
    </row>
    <row r="106" spans="1:14" ht="21.95" customHeight="1" x14ac:dyDescent="0.35">
      <c r="A106" s="69">
        <v>46002</v>
      </c>
      <c r="B106" s="70">
        <v>9133</v>
      </c>
      <c r="C106" s="71"/>
      <c r="D106" s="84">
        <v>8000</v>
      </c>
      <c r="E106" s="84">
        <v>0</v>
      </c>
      <c r="F106" s="84">
        <v>8000</v>
      </c>
      <c r="G106" s="84">
        <v>0</v>
      </c>
      <c r="H106" s="84">
        <v>8000</v>
      </c>
      <c r="I106" s="85"/>
      <c r="J106" s="86">
        <f>Table6[[#This Row],[Total Value Including Tax]]*$J$5</f>
        <v>440</v>
      </c>
      <c r="K106" s="86">
        <f>Table6[[#This Row],[Total Value Including Tax]]-Table6[[#This Row],[Less GST Tax @5.5%]]</f>
        <v>7560</v>
      </c>
      <c r="L106" s="86">
        <f>Table6[[#This Row],[Remaining Value]]-Table6[[#This Row],[Add GST Tax @18% Full]]</f>
        <v>7560</v>
      </c>
      <c r="M106" s="86"/>
      <c r="N106" s="86">
        <f>Table6[[#This Row],[Less GST Tax @18% Value]]-Table6[[#This Row],[Transfer Amount]]</f>
        <v>7560</v>
      </c>
    </row>
    <row r="107" spans="1:14" ht="21.95" customHeight="1" x14ac:dyDescent="0.35">
      <c r="A107" s="69">
        <v>46002</v>
      </c>
      <c r="B107" s="70">
        <v>9134</v>
      </c>
      <c r="C107" s="71"/>
      <c r="D107" s="84">
        <v>6500</v>
      </c>
      <c r="E107" s="84">
        <v>0</v>
      </c>
      <c r="F107" s="84">
        <v>6500</v>
      </c>
      <c r="G107" s="84">
        <v>0</v>
      </c>
      <c r="H107" s="84">
        <v>6500</v>
      </c>
      <c r="I107" s="85"/>
      <c r="J107" s="86">
        <f>Table6[[#This Row],[Total Value Including Tax]]*$J$5</f>
        <v>357.5</v>
      </c>
      <c r="K107" s="86">
        <f>Table6[[#This Row],[Total Value Including Tax]]-Table6[[#This Row],[Less GST Tax @5.5%]]</f>
        <v>6142.5</v>
      </c>
      <c r="L107" s="86">
        <f>Table6[[#This Row],[Remaining Value]]-Table6[[#This Row],[Add GST Tax @18% Full]]</f>
        <v>6142.5</v>
      </c>
      <c r="M107" s="86"/>
      <c r="N107" s="86">
        <f>Table6[[#This Row],[Less GST Tax @18% Value]]-Table6[[#This Row],[Transfer Amount]]</f>
        <v>6142.5</v>
      </c>
    </row>
    <row r="108" spans="1:14" ht="21.95" customHeight="1" x14ac:dyDescent="0.35">
      <c r="A108" s="69">
        <v>46002</v>
      </c>
      <c r="B108" s="70">
        <v>9135</v>
      </c>
      <c r="C108" s="71"/>
      <c r="D108" s="84">
        <v>18600</v>
      </c>
      <c r="E108" s="84">
        <v>0</v>
      </c>
      <c r="F108" s="84">
        <v>18600</v>
      </c>
      <c r="G108" s="84">
        <v>0</v>
      </c>
      <c r="H108" s="84">
        <v>18600</v>
      </c>
      <c r="I108" s="85"/>
      <c r="J108" s="86">
        <f>Table6[[#This Row],[Total Value Including Tax]]*$J$5</f>
        <v>1023</v>
      </c>
      <c r="K108" s="86">
        <f>Table6[[#This Row],[Total Value Including Tax]]-Table6[[#This Row],[Less GST Tax @5.5%]]</f>
        <v>17577</v>
      </c>
      <c r="L108" s="86">
        <f>Table6[[#This Row],[Remaining Value]]-Table6[[#This Row],[Add GST Tax @18% Full]]</f>
        <v>17577</v>
      </c>
      <c r="M108" s="86"/>
      <c r="N108" s="86">
        <f>Table6[[#This Row],[Less GST Tax @18% Value]]-Table6[[#This Row],[Transfer Amount]]</f>
        <v>17577</v>
      </c>
    </row>
    <row r="109" spans="1:14" ht="21.95" customHeight="1" x14ac:dyDescent="0.35">
      <c r="A109" s="69">
        <v>46002</v>
      </c>
      <c r="B109" s="70">
        <v>9136</v>
      </c>
      <c r="C109" s="71"/>
      <c r="D109" s="84">
        <v>6500</v>
      </c>
      <c r="E109" s="84">
        <v>0</v>
      </c>
      <c r="F109" s="84">
        <v>6500</v>
      </c>
      <c r="G109" s="84">
        <v>0</v>
      </c>
      <c r="H109" s="84">
        <v>6500</v>
      </c>
      <c r="I109" s="85"/>
      <c r="J109" s="86">
        <f>Table6[[#This Row],[Total Value Including Tax]]*$J$5</f>
        <v>357.5</v>
      </c>
      <c r="K109" s="86">
        <f>Table6[[#This Row],[Total Value Including Tax]]-Table6[[#This Row],[Less GST Tax @5.5%]]</f>
        <v>6142.5</v>
      </c>
      <c r="L109" s="86">
        <f>Table6[[#This Row],[Remaining Value]]-Table6[[#This Row],[Add GST Tax @18% Full]]</f>
        <v>6142.5</v>
      </c>
      <c r="M109" s="86"/>
      <c r="N109" s="86">
        <f>Table6[[#This Row],[Less GST Tax @18% Value]]-Table6[[#This Row],[Transfer Amount]]</f>
        <v>6142.5</v>
      </c>
    </row>
    <row r="110" spans="1:14" ht="21.95" customHeight="1" x14ac:dyDescent="0.35">
      <c r="A110" s="69">
        <v>46006</v>
      </c>
      <c r="B110" s="70">
        <v>9137</v>
      </c>
      <c r="C110" s="71"/>
      <c r="D110" s="84">
        <v>5000</v>
      </c>
      <c r="E110" s="84">
        <v>0</v>
      </c>
      <c r="F110" s="84">
        <v>5000</v>
      </c>
      <c r="G110" s="84">
        <v>0</v>
      </c>
      <c r="H110" s="84">
        <v>5000</v>
      </c>
      <c r="I110" s="85"/>
      <c r="J110" s="86">
        <f>Table6[[#This Row],[Total Value Including Tax]]*$J$5</f>
        <v>275</v>
      </c>
      <c r="K110" s="86">
        <f>Table6[[#This Row],[Total Value Including Tax]]-Table6[[#This Row],[Less GST Tax @5.5%]]</f>
        <v>4725</v>
      </c>
      <c r="L110" s="86">
        <f>Table6[[#This Row],[Remaining Value]]-Table6[[#This Row],[Add GST Tax @18% Full]]</f>
        <v>4725</v>
      </c>
      <c r="M110" s="86"/>
      <c r="N110" s="86">
        <f>Table6[[#This Row],[Less GST Tax @18% Value]]-Table6[[#This Row],[Transfer Amount]]</f>
        <v>4725</v>
      </c>
    </row>
    <row r="111" spans="1:14" ht="21.95" customHeight="1" x14ac:dyDescent="0.35">
      <c r="A111" s="69">
        <v>46007</v>
      </c>
      <c r="B111" s="70">
        <v>9138</v>
      </c>
      <c r="C111" s="71"/>
      <c r="D111" s="84">
        <v>371840</v>
      </c>
      <c r="E111" s="84">
        <v>0</v>
      </c>
      <c r="F111" s="84">
        <v>371840</v>
      </c>
      <c r="G111" s="84">
        <v>0</v>
      </c>
      <c r="H111" s="84">
        <v>371840</v>
      </c>
      <c r="I111" s="85"/>
      <c r="J111" s="86">
        <f>Table6[[#This Row],[Total Value Including Tax]]*$J$5</f>
        <v>20451.2</v>
      </c>
      <c r="K111" s="86">
        <f>Table6[[#This Row],[Total Value Including Tax]]-Table6[[#This Row],[Less GST Tax @5.5%]]</f>
        <v>351388.8</v>
      </c>
      <c r="L111" s="86">
        <f>Table6[[#This Row],[Remaining Value]]-Table6[[#This Row],[Add GST Tax @18% Full]]</f>
        <v>351388.8</v>
      </c>
      <c r="M111" s="86"/>
      <c r="N111" s="86">
        <f>Table6[[#This Row],[Less GST Tax @18% Value]]-Table6[[#This Row],[Transfer Amount]]</f>
        <v>351388.8</v>
      </c>
    </row>
    <row r="112" spans="1:14" ht="21.95" customHeight="1" x14ac:dyDescent="0.35">
      <c r="A112" s="69">
        <v>46007</v>
      </c>
      <c r="B112" s="70">
        <v>9138</v>
      </c>
      <c r="C112" s="71"/>
      <c r="D112" s="84">
        <v>371840</v>
      </c>
      <c r="E112" s="84">
        <v>0</v>
      </c>
      <c r="F112" s="84">
        <v>371840</v>
      </c>
      <c r="G112" s="84">
        <v>0</v>
      </c>
      <c r="H112" s="84">
        <v>371840</v>
      </c>
      <c r="I112" s="85"/>
      <c r="J112" s="86">
        <f>Table6[[#This Row],[Total Value Including Tax]]*$J$5</f>
        <v>20451.2</v>
      </c>
      <c r="K112" s="86">
        <f>Table6[[#This Row],[Total Value Including Tax]]-Table6[[#This Row],[Less GST Tax @5.5%]]</f>
        <v>351388.8</v>
      </c>
      <c r="L112" s="86">
        <f>Table6[[#This Row],[Remaining Value]]-Table6[[#This Row],[Add GST Tax @18% Full]]</f>
        <v>351388.8</v>
      </c>
      <c r="M112" s="86"/>
      <c r="N112" s="86">
        <f>Table6[[#This Row],[Less GST Tax @18% Value]]-Table6[[#This Row],[Transfer Amount]]</f>
        <v>351388.8</v>
      </c>
    </row>
    <row r="113" spans="1:14" ht="21.95" customHeight="1" x14ac:dyDescent="0.35">
      <c r="A113" s="69">
        <v>46017</v>
      </c>
      <c r="B113" s="70">
        <v>9139</v>
      </c>
      <c r="C113" s="71"/>
      <c r="D113" s="84">
        <v>74500</v>
      </c>
      <c r="E113" s="84">
        <v>0</v>
      </c>
      <c r="F113" s="84">
        <v>74500</v>
      </c>
      <c r="G113" s="84">
        <v>0</v>
      </c>
      <c r="H113" s="84">
        <v>74500</v>
      </c>
      <c r="I113" s="85"/>
      <c r="J113" s="86">
        <f>Table6[[#This Row],[Total Value Including Tax]]*$J$5</f>
        <v>4097.5</v>
      </c>
      <c r="K113" s="86">
        <f>Table6[[#This Row],[Total Value Including Tax]]-Table6[[#This Row],[Less GST Tax @5.5%]]</f>
        <v>70402.5</v>
      </c>
      <c r="L113" s="86">
        <f>Table6[[#This Row],[Remaining Value]]-Table6[[#This Row],[Add GST Tax @18% Full]]</f>
        <v>70402.5</v>
      </c>
      <c r="M113" s="86"/>
      <c r="N113" s="86">
        <f>Table6[[#This Row],[Less GST Tax @18% Value]]-Table6[[#This Row],[Transfer Amount]]</f>
        <v>70402.5</v>
      </c>
    </row>
    <row r="114" spans="1:14" ht="21.95" customHeight="1" x14ac:dyDescent="0.35">
      <c r="A114" s="69">
        <v>46020</v>
      </c>
      <c r="B114" s="70">
        <v>9140</v>
      </c>
      <c r="C114" s="71"/>
      <c r="D114" s="84">
        <v>128000</v>
      </c>
      <c r="E114" s="84">
        <v>0</v>
      </c>
      <c r="F114" s="84">
        <v>128000</v>
      </c>
      <c r="G114" s="84">
        <v>0</v>
      </c>
      <c r="H114" s="84">
        <v>128000</v>
      </c>
      <c r="I114" s="85"/>
      <c r="J114" s="86">
        <f>Table6[[#This Row],[Total Value Including Tax]]*$J$5</f>
        <v>7040</v>
      </c>
      <c r="K114" s="86">
        <f>Table6[[#This Row],[Total Value Including Tax]]-Table6[[#This Row],[Less GST Tax @5.5%]]</f>
        <v>120960</v>
      </c>
      <c r="L114" s="86">
        <f>Table6[[#This Row],[Remaining Value]]-Table6[[#This Row],[Add GST Tax @18% Full]]</f>
        <v>120960</v>
      </c>
      <c r="M114" s="86"/>
      <c r="N114" s="86">
        <f>Table6[[#This Row],[Less GST Tax @18% Value]]-Table6[[#This Row],[Transfer Amount]]</f>
        <v>120960</v>
      </c>
    </row>
    <row r="115" spans="1:14" ht="21.95" customHeight="1" x14ac:dyDescent="0.35">
      <c r="A115" s="69">
        <v>46020</v>
      </c>
      <c r="B115" s="70">
        <v>9141</v>
      </c>
      <c r="C115" s="71"/>
      <c r="D115" s="84">
        <v>141450</v>
      </c>
      <c r="E115" s="84">
        <v>0</v>
      </c>
      <c r="F115" s="84">
        <v>141450</v>
      </c>
      <c r="G115" s="84">
        <v>0</v>
      </c>
      <c r="H115" s="84">
        <v>141450</v>
      </c>
      <c r="I115" s="85"/>
      <c r="J115" s="86">
        <f>Table6[[#This Row],[Total Value Including Tax]]*$J$5</f>
        <v>7779.75</v>
      </c>
      <c r="K115" s="86">
        <f>Table6[[#This Row],[Total Value Including Tax]]-Table6[[#This Row],[Less GST Tax @5.5%]]</f>
        <v>133670.25</v>
      </c>
      <c r="L115" s="86">
        <f>Table6[[#This Row],[Remaining Value]]-Table6[[#This Row],[Add GST Tax @18% Full]]</f>
        <v>133670.25</v>
      </c>
      <c r="M115" s="86"/>
      <c r="N115" s="86">
        <f>Table6[[#This Row],[Less GST Tax @18% Value]]-Table6[[#This Row],[Transfer Amount]]</f>
        <v>133670.25</v>
      </c>
    </row>
    <row r="116" spans="1:14" ht="21.95" customHeight="1" x14ac:dyDescent="0.35">
      <c r="A116" s="69">
        <v>46020</v>
      </c>
      <c r="B116" s="70">
        <v>9142</v>
      </c>
      <c r="C116" s="71"/>
      <c r="D116" s="84">
        <v>5000</v>
      </c>
      <c r="E116" s="84">
        <v>0</v>
      </c>
      <c r="F116" s="84">
        <v>5000</v>
      </c>
      <c r="G116" s="84">
        <v>0</v>
      </c>
      <c r="H116" s="84">
        <v>5000</v>
      </c>
      <c r="I116" s="85"/>
      <c r="J116" s="86">
        <f>Table6[[#This Row],[Total Value Including Tax]]*$J$5</f>
        <v>275</v>
      </c>
      <c r="K116" s="86">
        <f>Table6[[#This Row],[Total Value Including Tax]]-Table6[[#This Row],[Less GST Tax @5.5%]]</f>
        <v>4725</v>
      </c>
      <c r="L116" s="86">
        <f>Table6[[#This Row],[Remaining Value]]-Table6[[#This Row],[Add GST Tax @18% Full]]</f>
        <v>4725</v>
      </c>
      <c r="M116" s="86"/>
      <c r="N116" s="86">
        <f>Table6[[#This Row],[Less GST Tax @18% Value]]-Table6[[#This Row],[Transfer Amount]]</f>
        <v>4725</v>
      </c>
    </row>
    <row r="117" spans="1:14" ht="21.95" customHeight="1" x14ac:dyDescent="0.35">
      <c r="A117" s="69">
        <v>46021</v>
      </c>
      <c r="B117" s="70">
        <v>9143</v>
      </c>
      <c r="C117" s="71"/>
      <c r="D117" s="84">
        <v>10000</v>
      </c>
      <c r="E117" s="84">
        <v>0</v>
      </c>
      <c r="F117" s="84">
        <v>10000</v>
      </c>
      <c r="G117" s="84">
        <v>0</v>
      </c>
      <c r="H117" s="84">
        <v>10000</v>
      </c>
      <c r="I117" s="85"/>
      <c r="J117" s="86">
        <f>Table6[[#This Row],[Total Value Including Tax]]*$J$5</f>
        <v>550</v>
      </c>
      <c r="K117" s="86">
        <f>Table6[[#This Row],[Total Value Including Tax]]-Table6[[#This Row],[Less GST Tax @5.5%]]</f>
        <v>9450</v>
      </c>
      <c r="L117" s="86">
        <f>Table6[[#This Row],[Remaining Value]]-Table6[[#This Row],[Add GST Tax @18% Full]]</f>
        <v>9450</v>
      </c>
      <c r="M117" s="86"/>
      <c r="N117" s="86">
        <f>Table6[[#This Row],[Less GST Tax @18% Value]]-Table6[[#This Row],[Transfer Amount]]</f>
        <v>9450</v>
      </c>
    </row>
    <row r="118" spans="1:14" ht="21.95" customHeight="1" x14ac:dyDescent="0.35">
      <c r="A118" s="69">
        <v>46023</v>
      </c>
      <c r="B118" s="70">
        <v>9144</v>
      </c>
      <c r="C118" s="71"/>
      <c r="D118" s="84">
        <v>1465500</v>
      </c>
      <c r="E118" s="84">
        <v>0</v>
      </c>
      <c r="F118" s="84">
        <v>1465500</v>
      </c>
      <c r="G118" s="84">
        <v>0</v>
      </c>
      <c r="H118" s="84">
        <v>1465500</v>
      </c>
      <c r="I118" s="85"/>
      <c r="J118" s="86">
        <f>Table6[[#This Row],[Total Value Including Tax]]*$J$5</f>
        <v>80602.5</v>
      </c>
      <c r="K118" s="86">
        <f>Table6[[#This Row],[Total Value Including Tax]]-Table6[[#This Row],[Less GST Tax @5.5%]]</f>
        <v>1384897.5</v>
      </c>
      <c r="L118" s="86">
        <f>Table6[[#This Row],[Remaining Value]]-Table6[[#This Row],[Add GST Tax @18% Full]]</f>
        <v>1384897.5</v>
      </c>
      <c r="M118" s="86"/>
      <c r="N118" s="86">
        <f>Table6[[#This Row],[Less GST Tax @18% Value]]-Table6[[#This Row],[Transfer Amount]]</f>
        <v>1384897.5</v>
      </c>
    </row>
    <row r="119" spans="1:14" ht="21.95" customHeight="1" x14ac:dyDescent="0.35">
      <c r="A119" s="69">
        <v>46023</v>
      </c>
      <c r="B119" s="70">
        <v>9145</v>
      </c>
      <c r="C119" s="71"/>
      <c r="D119" s="84">
        <v>8500</v>
      </c>
      <c r="E119" s="84">
        <v>0</v>
      </c>
      <c r="F119" s="84">
        <v>8500</v>
      </c>
      <c r="G119" s="84">
        <v>0</v>
      </c>
      <c r="H119" s="84">
        <v>8500</v>
      </c>
      <c r="I119" s="85"/>
      <c r="J119" s="86">
        <f>Table6[[#This Row],[Total Value Including Tax]]*$J$5</f>
        <v>467.5</v>
      </c>
      <c r="K119" s="86">
        <f>Table6[[#This Row],[Total Value Including Tax]]-Table6[[#This Row],[Less GST Tax @5.5%]]</f>
        <v>8032.5</v>
      </c>
      <c r="L119" s="86">
        <f>Table6[[#This Row],[Remaining Value]]-Table6[[#This Row],[Add GST Tax @18% Full]]</f>
        <v>8032.5</v>
      </c>
      <c r="M119" s="86"/>
      <c r="N119" s="86">
        <f>Table6[[#This Row],[Less GST Tax @18% Value]]-Table6[[#This Row],[Transfer Amount]]</f>
        <v>8032.5</v>
      </c>
    </row>
    <row r="120" spans="1:14" ht="21.95" customHeight="1" x14ac:dyDescent="0.35">
      <c r="A120" s="69">
        <v>46026</v>
      </c>
      <c r="B120" s="70">
        <v>9146</v>
      </c>
      <c r="C120" s="71"/>
      <c r="D120" s="84">
        <v>11000</v>
      </c>
      <c r="E120" s="84">
        <v>0</v>
      </c>
      <c r="F120" s="84">
        <v>11000</v>
      </c>
      <c r="G120" s="84">
        <v>0</v>
      </c>
      <c r="H120" s="84">
        <v>11000</v>
      </c>
      <c r="I120" s="85"/>
      <c r="J120" s="86">
        <f>Table6[[#This Row],[Total Value Including Tax]]*$J$5</f>
        <v>605</v>
      </c>
      <c r="K120" s="86">
        <f>Table6[[#This Row],[Total Value Including Tax]]-Table6[[#This Row],[Less GST Tax @5.5%]]</f>
        <v>10395</v>
      </c>
      <c r="L120" s="86">
        <f>Table6[[#This Row],[Remaining Value]]-Table6[[#This Row],[Add GST Tax @18% Full]]</f>
        <v>10395</v>
      </c>
      <c r="M120" s="86"/>
      <c r="N120" s="86">
        <f>Table6[[#This Row],[Less GST Tax @18% Value]]-Table6[[#This Row],[Transfer Amount]]</f>
        <v>10395</v>
      </c>
    </row>
    <row r="121" spans="1:14" ht="21.95" customHeight="1" x14ac:dyDescent="0.35">
      <c r="A121" s="69">
        <v>46037</v>
      </c>
      <c r="B121" s="70">
        <v>9147</v>
      </c>
      <c r="C121" s="71"/>
      <c r="D121" s="84">
        <v>4691</v>
      </c>
      <c r="E121" s="84">
        <v>0</v>
      </c>
      <c r="F121" s="84">
        <v>4691</v>
      </c>
      <c r="G121" s="84">
        <v>0</v>
      </c>
      <c r="H121" s="84">
        <v>4691</v>
      </c>
      <c r="I121" s="85"/>
      <c r="J121" s="86">
        <f>Table6[[#This Row],[Total Value Including Tax]]*$J$5</f>
        <v>258.005</v>
      </c>
      <c r="K121" s="86">
        <f>Table6[[#This Row],[Total Value Including Tax]]-Table6[[#This Row],[Less GST Tax @5.5%]]</f>
        <v>4432.9949999999999</v>
      </c>
      <c r="L121" s="86">
        <f>Table6[[#This Row],[Remaining Value]]-Table6[[#This Row],[Add GST Tax @18% Full]]</f>
        <v>4432.9949999999999</v>
      </c>
      <c r="M121" s="86"/>
      <c r="N121" s="86">
        <f>Table6[[#This Row],[Less GST Tax @18% Value]]-Table6[[#This Row],[Transfer Amount]]</f>
        <v>4432.9949999999999</v>
      </c>
    </row>
    <row r="122" spans="1:14" ht="21.95" customHeight="1" x14ac:dyDescent="0.35">
      <c r="A122" s="69">
        <v>46038</v>
      </c>
      <c r="B122" s="70">
        <v>9148</v>
      </c>
      <c r="C122" s="71"/>
      <c r="D122" s="84">
        <v>3900</v>
      </c>
      <c r="E122" s="84">
        <v>0</v>
      </c>
      <c r="F122" s="84">
        <v>3900</v>
      </c>
      <c r="G122" s="84">
        <v>0</v>
      </c>
      <c r="H122" s="84">
        <v>3900</v>
      </c>
      <c r="I122" s="85"/>
      <c r="J122" s="86">
        <f>Table6[[#This Row],[Total Value Including Tax]]*$J$5</f>
        <v>214.5</v>
      </c>
      <c r="K122" s="86">
        <f>Table6[[#This Row],[Total Value Including Tax]]-Table6[[#This Row],[Less GST Tax @5.5%]]</f>
        <v>3685.5</v>
      </c>
      <c r="L122" s="86">
        <f>Table6[[#This Row],[Remaining Value]]-Table6[[#This Row],[Add GST Tax @18% Full]]</f>
        <v>3685.5</v>
      </c>
      <c r="M122" s="86"/>
      <c r="N122" s="86">
        <f>Table6[[#This Row],[Less GST Tax @18% Value]]-Table6[[#This Row],[Transfer Amount]]</f>
        <v>3685.5</v>
      </c>
    </row>
    <row r="123" spans="1:14" ht="21.95" customHeight="1" x14ac:dyDescent="0.35">
      <c r="A123" s="69">
        <v>46042</v>
      </c>
      <c r="B123" s="70">
        <v>9150</v>
      </c>
      <c r="C123" s="71"/>
      <c r="D123" s="84">
        <v>10500</v>
      </c>
      <c r="E123" s="84">
        <v>0</v>
      </c>
      <c r="F123" s="84">
        <v>10500</v>
      </c>
      <c r="G123" s="84">
        <v>0</v>
      </c>
      <c r="H123" s="84">
        <v>10500</v>
      </c>
      <c r="I123" s="85"/>
      <c r="J123" s="86">
        <f>Table6[[#This Row],[Total Value Including Tax]]*$J$5</f>
        <v>577.5</v>
      </c>
      <c r="K123" s="86">
        <f>Table6[[#This Row],[Total Value Including Tax]]-Table6[[#This Row],[Less GST Tax @5.5%]]</f>
        <v>9922.5</v>
      </c>
      <c r="L123" s="86">
        <f>Table6[[#This Row],[Remaining Value]]-Table6[[#This Row],[Add GST Tax @18% Full]]</f>
        <v>9922.5</v>
      </c>
      <c r="M123" s="86"/>
      <c r="N123" s="86">
        <f>Table6[[#This Row],[Less GST Tax @18% Value]]-Table6[[#This Row],[Transfer Amount]]</f>
        <v>9922.5</v>
      </c>
    </row>
    <row r="124" spans="1:14" ht="21.95" customHeight="1" x14ac:dyDescent="0.35">
      <c r="A124" s="69">
        <v>46042</v>
      </c>
      <c r="B124" s="70">
        <v>9151</v>
      </c>
      <c r="C124" s="71"/>
      <c r="D124" s="84">
        <v>158500</v>
      </c>
      <c r="E124" s="84">
        <v>0</v>
      </c>
      <c r="F124" s="84">
        <v>158500</v>
      </c>
      <c r="G124" s="84">
        <v>0</v>
      </c>
      <c r="H124" s="84">
        <v>158500</v>
      </c>
      <c r="I124" s="85"/>
      <c r="J124" s="86">
        <f>Table6[[#This Row],[Total Value Including Tax]]*$J$5</f>
        <v>8717.5</v>
      </c>
      <c r="K124" s="86">
        <f>Table6[[#This Row],[Total Value Including Tax]]-Table6[[#This Row],[Less GST Tax @5.5%]]</f>
        <v>149782.5</v>
      </c>
      <c r="L124" s="86">
        <f>Table6[[#This Row],[Remaining Value]]-Table6[[#This Row],[Add GST Tax @18% Full]]</f>
        <v>149782.5</v>
      </c>
      <c r="M124" s="86"/>
      <c r="N124" s="86">
        <f>Table6[[#This Row],[Less GST Tax @18% Value]]-Table6[[#This Row],[Transfer Amount]]</f>
        <v>149782.5</v>
      </c>
    </row>
    <row r="125" spans="1:14" ht="21.95" customHeight="1" x14ac:dyDescent="0.35">
      <c r="A125" s="69">
        <v>46043</v>
      </c>
      <c r="B125" s="70">
        <v>9152</v>
      </c>
      <c r="C125" s="71"/>
      <c r="D125" s="84">
        <v>385000</v>
      </c>
      <c r="E125" s="84">
        <v>0</v>
      </c>
      <c r="F125" s="84">
        <v>385000</v>
      </c>
      <c r="G125" s="84">
        <v>0</v>
      </c>
      <c r="H125" s="84">
        <v>385000</v>
      </c>
      <c r="I125" s="85"/>
      <c r="J125" s="86">
        <f>Table6[[#This Row],[Total Value Including Tax]]*$J$5</f>
        <v>21175</v>
      </c>
      <c r="K125" s="86">
        <f>Table6[[#This Row],[Total Value Including Tax]]-Table6[[#This Row],[Less GST Tax @5.5%]]</f>
        <v>363825</v>
      </c>
      <c r="L125" s="86">
        <f>Table6[[#This Row],[Remaining Value]]-Table6[[#This Row],[Add GST Tax @18% Full]]</f>
        <v>363825</v>
      </c>
      <c r="M125" s="86"/>
      <c r="N125" s="86">
        <f>Table6[[#This Row],[Less GST Tax @18% Value]]-Table6[[#This Row],[Transfer Amount]]</f>
        <v>363825</v>
      </c>
    </row>
    <row r="126" spans="1:14" ht="21.95" customHeight="1" x14ac:dyDescent="0.35">
      <c r="A126" s="69">
        <v>46048</v>
      </c>
      <c r="B126" s="70">
        <v>9153</v>
      </c>
      <c r="C126" s="71"/>
      <c r="D126" s="84">
        <v>3000</v>
      </c>
      <c r="E126" s="84">
        <v>0</v>
      </c>
      <c r="F126" s="84">
        <v>3000</v>
      </c>
      <c r="G126" s="84">
        <v>0</v>
      </c>
      <c r="H126" s="84">
        <v>3000</v>
      </c>
      <c r="I126" s="85"/>
      <c r="J126" s="86">
        <f>Table6[[#This Row],[Total Value Including Tax]]*$J$5</f>
        <v>165</v>
      </c>
      <c r="K126" s="86">
        <f>Table6[[#This Row],[Total Value Including Tax]]-Table6[[#This Row],[Less GST Tax @5.5%]]</f>
        <v>2835</v>
      </c>
      <c r="L126" s="86">
        <f>Table6[[#This Row],[Remaining Value]]-Table6[[#This Row],[Add GST Tax @18% Full]]</f>
        <v>2835</v>
      </c>
      <c r="M126" s="86"/>
      <c r="N126" s="86">
        <f>Table6[[#This Row],[Less GST Tax @18% Value]]-Table6[[#This Row],[Transfer Amount]]</f>
        <v>2835</v>
      </c>
    </row>
    <row r="127" spans="1:14" ht="21.95" customHeight="1" x14ac:dyDescent="0.35">
      <c r="A127" s="69">
        <v>46048</v>
      </c>
      <c r="B127" s="70">
        <v>9154</v>
      </c>
      <c r="C127" s="71"/>
      <c r="D127" s="84">
        <v>1400</v>
      </c>
      <c r="E127" s="84">
        <v>0</v>
      </c>
      <c r="F127" s="84">
        <v>1400</v>
      </c>
      <c r="G127" s="84">
        <v>0</v>
      </c>
      <c r="H127" s="84">
        <v>1400</v>
      </c>
      <c r="I127" s="85"/>
      <c r="J127" s="86">
        <f>Table6[[#This Row],[Total Value Including Tax]]*$J$5</f>
        <v>77</v>
      </c>
      <c r="K127" s="86">
        <f>Table6[[#This Row],[Total Value Including Tax]]-Table6[[#This Row],[Less GST Tax @5.5%]]</f>
        <v>1323</v>
      </c>
      <c r="L127" s="86">
        <f>Table6[[#This Row],[Remaining Value]]-Table6[[#This Row],[Add GST Tax @18% Full]]</f>
        <v>1323</v>
      </c>
      <c r="M127" s="86"/>
      <c r="N127" s="86">
        <f>Table6[[#This Row],[Less GST Tax @18% Value]]-Table6[[#This Row],[Transfer Amount]]</f>
        <v>1323</v>
      </c>
    </row>
    <row r="128" spans="1:14" ht="21.95" customHeight="1" x14ac:dyDescent="0.35">
      <c r="A128" s="69">
        <v>46048</v>
      </c>
      <c r="B128" s="70">
        <v>9155</v>
      </c>
      <c r="C128" s="71"/>
      <c r="D128" s="84">
        <v>7450</v>
      </c>
      <c r="E128" s="84">
        <v>0</v>
      </c>
      <c r="F128" s="84">
        <v>7450</v>
      </c>
      <c r="G128" s="84">
        <v>0</v>
      </c>
      <c r="H128" s="84">
        <v>7450</v>
      </c>
      <c r="I128" s="85"/>
      <c r="J128" s="86">
        <f>Table6[[#This Row],[Total Value Including Tax]]*$J$5</f>
        <v>409.75</v>
      </c>
      <c r="K128" s="86">
        <f>Table6[[#This Row],[Total Value Including Tax]]-Table6[[#This Row],[Less GST Tax @5.5%]]</f>
        <v>7040.25</v>
      </c>
      <c r="L128" s="86">
        <f>Table6[[#This Row],[Remaining Value]]-Table6[[#This Row],[Add GST Tax @18% Full]]</f>
        <v>7040.25</v>
      </c>
      <c r="M128" s="86"/>
      <c r="N128" s="86">
        <f>Table6[[#This Row],[Less GST Tax @18% Value]]-Table6[[#This Row],[Transfer Amount]]</f>
        <v>7040.25</v>
      </c>
    </row>
    <row r="129" spans="1:14" ht="21.95" customHeight="1" x14ac:dyDescent="0.35">
      <c r="A129" s="69">
        <v>46048</v>
      </c>
      <c r="B129" s="70">
        <v>9156</v>
      </c>
      <c r="C129" s="71"/>
      <c r="D129" s="84">
        <v>15000</v>
      </c>
      <c r="E129" s="84">
        <v>0</v>
      </c>
      <c r="F129" s="84">
        <v>15000</v>
      </c>
      <c r="G129" s="84">
        <v>0</v>
      </c>
      <c r="H129" s="84">
        <v>15000</v>
      </c>
      <c r="I129" s="85"/>
      <c r="J129" s="86">
        <f>Table6[[#This Row],[Total Value Including Tax]]*$J$5</f>
        <v>825</v>
      </c>
      <c r="K129" s="86">
        <f>Table6[[#This Row],[Total Value Including Tax]]-Table6[[#This Row],[Less GST Tax @5.5%]]</f>
        <v>14175</v>
      </c>
      <c r="L129" s="86">
        <f>Table6[[#This Row],[Remaining Value]]-Table6[[#This Row],[Add GST Tax @18% Full]]</f>
        <v>14175</v>
      </c>
      <c r="M129" s="86"/>
      <c r="N129" s="86">
        <f>Table6[[#This Row],[Less GST Tax @18% Value]]-Table6[[#This Row],[Transfer Amount]]</f>
        <v>14175</v>
      </c>
    </row>
    <row r="130" spans="1:14" ht="21.95" customHeight="1" x14ac:dyDescent="0.35">
      <c r="A130" s="69">
        <v>46048</v>
      </c>
      <c r="B130" s="70">
        <v>9157</v>
      </c>
      <c r="C130" s="71"/>
      <c r="D130" s="84">
        <v>15000</v>
      </c>
      <c r="E130" s="84">
        <v>0</v>
      </c>
      <c r="F130" s="84">
        <v>15000</v>
      </c>
      <c r="G130" s="84">
        <v>0</v>
      </c>
      <c r="H130" s="84">
        <v>15000</v>
      </c>
      <c r="I130" s="85"/>
      <c r="J130" s="86">
        <f>Table6[[#This Row],[Total Value Including Tax]]*$J$5</f>
        <v>825</v>
      </c>
      <c r="K130" s="86">
        <f>Table6[[#This Row],[Total Value Including Tax]]-Table6[[#This Row],[Less GST Tax @5.5%]]</f>
        <v>14175</v>
      </c>
      <c r="L130" s="86">
        <f>Table6[[#This Row],[Remaining Value]]-Table6[[#This Row],[Add GST Tax @18% Full]]</f>
        <v>14175</v>
      </c>
      <c r="M130" s="86"/>
      <c r="N130" s="86">
        <f>Table6[[#This Row],[Less GST Tax @18% Value]]-Table6[[#This Row],[Transfer Amount]]</f>
        <v>14175</v>
      </c>
    </row>
    <row r="131" spans="1:14" ht="21.95" customHeight="1" x14ac:dyDescent="0.35">
      <c r="A131" s="69">
        <v>46048</v>
      </c>
      <c r="B131" s="70">
        <v>9158</v>
      </c>
      <c r="C131" s="71"/>
      <c r="D131" s="84">
        <v>7000</v>
      </c>
      <c r="E131" s="84">
        <v>0</v>
      </c>
      <c r="F131" s="84">
        <v>7000</v>
      </c>
      <c r="G131" s="84">
        <v>0</v>
      </c>
      <c r="H131" s="84">
        <v>7000</v>
      </c>
      <c r="I131" s="85"/>
      <c r="J131" s="86">
        <f>Table6[[#This Row],[Total Value Including Tax]]*$J$5</f>
        <v>385</v>
      </c>
      <c r="K131" s="86">
        <f>Table6[[#This Row],[Total Value Including Tax]]-Table6[[#This Row],[Less GST Tax @5.5%]]</f>
        <v>6615</v>
      </c>
      <c r="L131" s="86">
        <f>Table6[[#This Row],[Remaining Value]]-Table6[[#This Row],[Add GST Tax @18% Full]]</f>
        <v>6615</v>
      </c>
      <c r="M131" s="86"/>
      <c r="N131" s="86">
        <f>Table6[[#This Row],[Less GST Tax @18% Value]]-Table6[[#This Row],[Transfer Amount]]</f>
        <v>6615</v>
      </c>
    </row>
    <row r="132" spans="1:14" ht="21.95" customHeight="1" x14ac:dyDescent="0.35">
      <c r="A132" s="69">
        <v>46048</v>
      </c>
      <c r="B132" s="70">
        <v>9160</v>
      </c>
      <c r="C132" s="71"/>
      <c r="D132" s="84">
        <v>18000</v>
      </c>
      <c r="E132" s="84">
        <v>0</v>
      </c>
      <c r="F132" s="84">
        <v>18000</v>
      </c>
      <c r="G132" s="84">
        <v>0</v>
      </c>
      <c r="H132" s="84">
        <v>18000</v>
      </c>
      <c r="I132" s="85"/>
      <c r="J132" s="86">
        <f>Table6[[#This Row],[Total Value Including Tax]]*$J$5</f>
        <v>990</v>
      </c>
      <c r="K132" s="86">
        <f>Table6[[#This Row],[Total Value Including Tax]]-Table6[[#This Row],[Less GST Tax @5.5%]]</f>
        <v>17010</v>
      </c>
      <c r="L132" s="86">
        <f>Table6[[#This Row],[Remaining Value]]-Table6[[#This Row],[Add GST Tax @18% Full]]</f>
        <v>17010</v>
      </c>
      <c r="M132" s="86"/>
      <c r="N132" s="86">
        <f>Table6[[#This Row],[Less GST Tax @18% Value]]-Table6[[#This Row],[Transfer Amount]]</f>
        <v>17010</v>
      </c>
    </row>
    <row r="133" spans="1:14" ht="21.95" customHeight="1" x14ac:dyDescent="0.35">
      <c r="A133" s="69">
        <v>46049</v>
      </c>
      <c r="B133" s="70">
        <v>9161</v>
      </c>
      <c r="C133" s="71"/>
      <c r="D133" s="84">
        <v>6500</v>
      </c>
      <c r="E133" s="84">
        <v>0</v>
      </c>
      <c r="F133" s="84">
        <v>6500</v>
      </c>
      <c r="G133" s="84">
        <v>0</v>
      </c>
      <c r="H133" s="84">
        <v>6500</v>
      </c>
      <c r="I133" s="85"/>
      <c r="J133" s="86">
        <f>Table6[[#This Row],[Total Value Including Tax]]*$J$5</f>
        <v>357.5</v>
      </c>
      <c r="K133" s="86">
        <f>Table6[[#This Row],[Total Value Including Tax]]-Table6[[#This Row],[Less GST Tax @5.5%]]</f>
        <v>6142.5</v>
      </c>
      <c r="L133" s="86">
        <f>Table6[[#This Row],[Remaining Value]]-Table6[[#This Row],[Add GST Tax @18% Full]]</f>
        <v>6142.5</v>
      </c>
      <c r="M133" s="86"/>
      <c r="N133" s="86">
        <f>Table6[[#This Row],[Less GST Tax @18% Value]]-Table6[[#This Row],[Transfer Amount]]</f>
        <v>6142.5</v>
      </c>
    </row>
    <row r="134" spans="1:14" ht="21.95" customHeight="1" x14ac:dyDescent="0.35">
      <c r="A134" s="122">
        <v>46049</v>
      </c>
      <c r="B134" s="123">
        <v>9162</v>
      </c>
      <c r="C134" s="124"/>
      <c r="D134" s="125">
        <v>4000</v>
      </c>
      <c r="E134" s="125">
        <v>0</v>
      </c>
      <c r="F134" s="125">
        <v>4000</v>
      </c>
      <c r="G134" s="125">
        <v>0</v>
      </c>
      <c r="H134" s="125">
        <v>4000</v>
      </c>
      <c r="I134" s="126"/>
      <c r="J134" s="127">
        <f>Table6[[#This Row],[Total Value Including Tax]]*$J$5</f>
        <v>220</v>
      </c>
      <c r="K134" s="127">
        <f>Table6[[#This Row],[Total Value Including Tax]]-Table6[[#This Row],[Less GST Tax @5.5%]]</f>
        <v>3780</v>
      </c>
      <c r="L134" s="127">
        <f>Table6[[#This Row],[Remaining Value]]-Table6[[#This Row],[Add GST Tax @18% Full]]</f>
        <v>3780</v>
      </c>
      <c r="M134" s="127"/>
      <c r="N134" s="127">
        <f>Table6[[#This Row],[Less GST Tax @18% Value]]-Table6[[#This Row],[Transfer Amount]]</f>
        <v>3780</v>
      </c>
    </row>
    <row r="135" spans="1:14" ht="21.95" customHeight="1" x14ac:dyDescent="0.35">
      <c r="A135" s="69">
        <v>46051</v>
      </c>
      <c r="B135" s="70">
        <v>9163</v>
      </c>
      <c r="C135" s="71"/>
      <c r="D135" s="84">
        <v>178450</v>
      </c>
      <c r="E135" s="84">
        <v>0</v>
      </c>
      <c r="F135" s="84">
        <v>178450</v>
      </c>
      <c r="G135" s="84">
        <v>0</v>
      </c>
      <c r="H135" s="84">
        <v>178450</v>
      </c>
      <c r="I135" s="85"/>
      <c r="J135" s="86">
        <f>Table6[[#This Row],[Total Value Including Tax]]*$J$5</f>
        <v>9814.75</v>
      </c>
      <c r="K135" s="86">
        <f>Table6[[#This Row],[Total Value Including Tax]]-Table6[[#This Row],[Less GST Tax @5.5%]]</f>
        <v>168635.25</v>
      </c>
      <c r="L135" s="86">
        <f>Table6[[#This Row],[Remaining Value]]-Table6[[#This Row],[Add GST Tax @18% Full]]</f>
        <v>168635.25</v>
      </c>
      <c r="M135" s="86"/>
      <c r="N135" s="86">
        <f>Table6[[#This Row],[Less GST Tax @18% Value]]-Table6[[#This Row],[Transfer Amount]]</f>
        <v>168635.25</v>
      </c>
    </row>
    <row r="136" spans="1:14" ht="21.95" customHeight="1" x14ac:dyDescent="0.35">
      <c r="A136" s="69">
        <v>46052</v>
      </c>
      <c r="B136" s="70">
        <v>9164</v>
      </c>
      <c r="C136" s="71" t="s">
        <v>94</v>
      </c>
      <c r="D136" s="84">
        <v>973500</v>
      </c>
      <c r="E136" s="84">
        <v>0</v>
      </c>
      <c r="F136" s="84">
        <v>973500</v>
      </c>
      <c r="G136" s="84">
        <v>0</v>
      </c>
      <c r="H136" s="84">
        <v>973500</v>
      </c>
      <c r="I136" s="85"/>
      <c r="J136" s="86">
        <f>Table6[[#This Row],[Total Value Including Tax]]*$J$5</f>
        <v>53542.5</v>
      </c>
      <c r="K136" s="86">
        <f>Table6[[#This Row],[Total Value Including Tax]]-Table6[[#This Row],[Less GST Tax @5.5%]]</f>
        <v>919957.5</v>
      </c>
      <c r="L136" s="86">
        <f>Table6[[#This Row],[Remaining Value]]-Table6[[#This Row],[Add GST Tax @18% Full]]</f>
        <v>919957.5</v>
      </c>
      <c r="M136" s="86"/>
      <c r="N136" s="86">
        <f>Table6[[#This Row],[Less GST Tax @18% Value]]-Table6[[#This Row],[Transfer Amount]]</f>
        <v>919957.5</v>
      </c>
    </row>
    <row r="137" spans="1:14" ht="21.95" customHeight="1" x14ac:dyDescent="0.35">
      <c r="A137" s="122">
        <v>46052</v>
      </c>
      <c r="B137" s="123">
        <v>9165</v>
      </c>
      <c r="C137" s="124" t="s">
        <v>94</v>
      </c>
      <c r="D137" s="125">
        <v>147350</v>
      </c>
      <c r="E137" s="125">
        <v>0</v>
      </c>
      <c r="F137" s="125">
        <v>147350</v>
      </c>
      <c r="G137" s="125">
        <v>0</v>
      </c>
      <c r="H137" s="125">
        <v>147350</v>
      </c>
      <c r="I137" s="126"/>
      <c r="J137" s="127">
        <f>Table6[[#This Row],[Total Value Including Tax]]*$J$5</f>
        <v>8104.25</v>
      </c>
      <c r="K137" s="127">
        <f>Table6[[#This Row],[Total Value Including Tax]]-Table6[[#This Row],[Less GST Tax @5.5%]]</f>
        <v>139245.75</v>
      </c>
      <c r="L137" s="127">
        <f>Table6[[#This Row],[Remaining Value]]-Table6[[#This Row],[Add GST Tax @18% Full]]</f>
        <v>139245.75</v>
      </c>
      <c r="M137" s="127"/>
      <c r="N137" s="127">
        <f>Table6[[#This Row],[Less GST Tax @18% Value]]-Table6[[#This Row],[Transfer Amount]]</f>
        <v>139245.75</v>
      </c>
    </row>
    <row r="138" spans="1:14" ht="21.95" customHeight="1" x14ac:dyDescent="0.35">
      <c r="A138" s="69">
        <v>46059</v>
      </c>
      <c r="B138" s="70">
        <v>9166</v>
      </c>
      <c r="C138" s="71" t="s">
        <v>94</v>
      </c>
      <c r="D138" s="84">
        <v>4300</v>
      </c>
      <c r="E138" s="84">
        <v>0</v>
      </c>
      <c r="F138" s="84">
        <v>4300</v>
      </c>
      <c r="G138" s="84">
        <v>0</v>
      </c>
      <c r="H138" s="84">
        <v>4300</v>
      </c>
      <c r="I138" s="85"/>
      <c r="J138" s="86">
        <f>Table6[[#This Row],[Total Value Including Tax]]*$J$5</f>
        <v>236.5</v>
      </c>
      <c r="K138" s="86">
        <f>Table6[[#This Row],[Total Value Including Tax]]-Table6[[#This Row],[Less GST Tax @5.5%]]</f>
        <v>4063.5</v>
      </c>
      <c r="L138" s="86">
        <f>Table6[[#This Row],[Remaining Value]]-Table6[[#This Row],[Add GST Tax @18% Full]]</f>
        <v>4063.5</v>
      </c>
      <c r="M138" s="86"/>
      <c r="N138" s="86">
        <f>Table6[[#This Row],[Less GST Tax @18% Value]]-Table6[[#This Row],[Transfer Amount]]</f>
        <v>4063.5</v>
      </c>
    </row>
    <row r="139" spans="1:14" ht="21.95" customHeight="1" x14ac:dyDescent="0.35">
      <c r="A139" s="69">
        <v>46064</v>
      </c>
      <c r="B139" s="70">
        <v>9167</v>
      </c>
      <c r="C139" s="71" t="s">
        <v>51</v>
      </c>
      <c r="D139" s="84">
        <v>9000</v>
      </c>
      <c r="E139" s="84">
        <v>0</v>
      </c>
      <c r="F139" s="84">
        <v>9000</v>
      </c>
      <c r="G139" s="84">
        <v>0</v>
      </c>
      <c r="H139" s="84">
        <v>9000</v>
      </c>
      <c r="I139" s="85"/>
      <c r="J139" s="86">
        <f>Table6[[#This Row],[Total Value Including Tax]]*$J$5</f>
        <v>495</v>
      </c>
      <c r="K139" s="86">
        <f>Table6[[#This Row],[Total Value Including Tax]]-Table6[[#This Row],[Less GST Tax @5.5%]]</f>
        <v>8505</v>
      </c>
      <c r="L139" s="86">
        <f>Table6[[#This Row],[Remaining Value]]-Table6[[#This Row],[Add GST Tax @18% Full]]</f>
        <v>8505</v>
      </c>
      <c r="M139" s="86"/>
      <c r="N139" s="86">
        <f>Table6[[#This Row],[Less GST Tax @18% Value]]-Table6[[#This Row],[Transfer Amount]]</f>
        <v>8505</v>
      </c>
    </row>
    <row r="140" spans="1:14" ht="21.95" customHeight="1" x14ac:dyDescent="0.35">
      <c r="A140" s="69">
        <v>46064</v>
      </c>
      <c r="B140" s="70">
        <v>9168</v>
      </c>
      <c r="C140" s="71" t="s">
        <v>51</v>
      </c>
      <c r="D140" s="84">
        <v>9000</v>
      </c>
      <c r="E140" s="84">
        <v>0</v>
      </c>
      <c r="F140" s="84">
        <v>9000</v>
      </c>
      <c r="G140" s="84">
        <v>0</v>
      </c>
      <c r="H140" s="84">
        <v>9000</v>
      </c>
      <c r="I140" s="85"/>
      <c r="J140" s="86">
        <f>Table6[[#This Row],[Total Value Including Tax]]*$J$5</f>
        <v>495</v>
      </c>
      <c r="K140" s="86">
        <f>Table6[[#This Row],[Total Value Including Tax]]-Table6[[#This Row],[Less GST Tax @5.5%]]</f>
        <v>8505</v>
      </c>
      <c r="L140" s="86">
        <f>Table6[[#This Row],[Remaining Value]]-Table6[[#This Row],[Add GST Tax @18% Full]]</f>
        <v>8505</v>
      </c>
      <c r="M140" s="86"/>
      <c r="N140" s="86">
        <f>Table6[[#This Row],[Less GST Tax @18% Value]]-Table6[[#This Row],[Transfer Amount]]</f>
        <v>8505</v>
      </c>
    </row>
    <row r="141" spans="1:14" ht="21.95" customHeight="1" x14ac:dyDescent="0.35">
      <c r="A141" s="69">
        <v>46064</v>
      </c>
      <c r="B141" s="70">
        <v>9169</v>
      </c>
      <c r="C141" s="71" t="s">
        <v>48</v>
      </c>
      <c r="D141" s="84">
        <v>3500</v>
      </c>
      <c r="E141" s="84">
        <v>0</v>
      </c>
      <c r="F141" s="84">
        <v>3500</v>
      </c>
      <c r="G141" s="84">
        <v>0</v>
      </c>
      <c r="H141" s="84">
        <v>3500</v>
      </c>
      <c r="I141" s="85"/>
      <c r="J141" s="86">
        <f>Table6[[#This Row],[Total Value Including Tax]]*$J$5</f>
        <v>192.5</v>
      </c>
      <c r="K141" s="86">
        <f>Table6[[#This Row],[Total Value Including Tax]]-Table6[[#This Row],[Less GST Tax @5.5%]]</f>
        <v>3307.5</v>
      </c>
      <c r="L141" s="86">
        <f>Table6[[#This Row],[Remaining Value]]-Table6[[#This Row],[Add GST Tax @18% Full]]</f>
        <v>3307.5</v>
      </c>
      <c r="M141" s="86"/>
      <c r="N141" s="86">
        <f>Table6[[#This Row],[Less GST Tax @18% Value]]-Table6[[#This Row],[Transfer Amount]]</f>
        <v>3307.5</v>
      </c>
    </row>
    <row r="142" spans="1:14" ht="21.95" customHeight="1" x14ac:dyDescent="0.35">
      <c r="A142" s="69">
        <v>46065</v>
      </c>
      <c r="B142" s="70">
        <v>9170</v>
      </c>
      <c r="C142" s="71" t="s">
        <v>104</v>
      </c>
      <c r="D142" s="84">
        <v>3000</v>
      </c>
      <c r="E142" s="84">
        <v>0</v>
      </c>
      <c r="F142" s="84">
        <v>3000</v>
      </c>
      <c r="G142" s="84">
        <v>0</v>
      </c>
      <c r="H142" s="84">
        <v>3000</v>
      </c>
      <c r="I142" s="85"/>
      <c r="J142" s="86">
        <f>Table6[[#This Row],[Total Value Including Tax]]*$J$5</f>
        <v>165</v>
      </c>
      <c r="K142" s="86">
        <f>Table6[[#This Row],[Total Value Including Tax]]-Table6[[#This Row],[Less GST Tax @5.5%]]</f>
        <v>2835</v>
      </c>
      <c r="L142" s="86">
        <f>Table6[[#This Row],[Remaining Value]]-Table6[[#This Row],[Add GST Tax @18% Full]]</f>
        <v>2835</v>
      </c>
      <c r="M142" s="86"/>
      <c r="N142" s="86">
        <f>Table6[[#This Row],[Less GST Tax @18% Value]]-Table6[[#This Row],[Transfer Amount]]</f>
        <v>2835</v>
      </c>
    </row>
    <row r="143" spans="1:14" ht="21.95" customHeight="1" x14ac:dyDescent="0.35">
      <c r="A143" s="69">
        <v>46067</v>
      </c>
      <c r="B143" s="70">
        <v>9172</v>
      </c>
      <c r="C143" s="71" t="s">
        <v>105</v>
      </c>
      <c r="D143" s="84">
        <v>1500</v>
      </c>
      <c r="E143" s="84">
        <v>0</v>
      </c>
      <c r="F143" s="84">
        <v>1500</v>
      </c>
      <c r="G143" s="84">
        <v>0</v>
      </c>
      <c r="H143" s="84">
        <v>1500</v>
      </c>
      <c r="I143" s="85"/>
      <c r="J143" s="86">
        <f>Table6[[#This Row],[Total Value Including Tax]]*$J$5</f>
        <v>82.5</v>
      </c>
      <c r="K143" s="86">
        <f>Table6[[#This Row],[Total Value Including Tax]]-Table6[[#This Row],[Less GST Tax @5.5%]]</f>
        <v>1417.5</v>
      </c>
      <c r="L143" s="86">
        <f>Table6[[#This Row],[Remaining Value]]-Table6[[#This Row],[Add GST Tax @18% Full]]</f>
        <v>1417.5</v>
      </c>
      <c r="M143" s="86"/>
      <c r="N143" s="86">
        <f>Table6[[#This Row],[Less GST Tax @18% Value]]-Table6[[#This Row],[Transfer Amount]]</f>
        <v>1417.5</v>
      </c>
    </row>
    <row r="144" spans="1:14" ht="21.95" customHeight="1" x14ac:dyDescent="0.35">
      <c r="A144" s="69">
        <v>46070</v>
      </c>
      <c r="B144" s="70">
        <v>9173</v>
      </c>
      <c r="C144" s="71" t="s">
        <v>94</v>
      </c>
      <c r="D144" s="84">
        <v>13000</v>
      </c>
      <c r="E144" s="84">
        <v>0</v>
      </c>
      <c r="F144" s="84">
        <v>13000</v>
      </c>
      <c r="G144" s="84">
        <v>0</v>
      </c>
      <c r="H144" s="84">
        <v>13000</v>
      </c>
      <c r="I144" s="85"/>
      <c r="J144" s="86">
        <f>Table6[[#This Row],[Total Value Including Tax]]*$J$5</f>
        <v>715</v>
      </c>
      <c r="K144" s="86">
        <f>Table6[[#This Row],[Total Value Including Tax]]-Table6[[#This Row],[Less GST Tax @5.5%]]</f>
        <v>12285</v>
      </c>
      <c r="L144" s="86">
        <f>Table6[[#This Row],[Remaining Value]]-Table6[[#This Row],[Add GST Tax @18% Full]]</f>
        <v>12285</v>
      </c>
      <c r="M144" s="86"/>
      <c r="N144" s="86">
        <f>Table6[[#This Row],[Less GST Tax @18% Value]]-Table6[[#This Row],[Transfer Amount]]</f>
        <v>12285</v>
      </c>
    </row>
    <row r="145" spans="1:14" ht="21.95" customHeight="1" x14ac:dyDescent="0.35">
      <c r="A145" s="69">
        <v>46070</v>
      </c>
      <c r="B145" s="70">
        <v>9174</v>
      </c>
      <c r="C145" s="71" t="s">
        <v>94</v>
      </c>
      <c r="D145" s="84">
        <v>107000</v>
      </c>
      <c r="E145" s="84">
        <v>0</v>
      </c>
      <c r="F145" s="84">
        <v>107000</v>
      </c>
      <c r="G145" s="84">
        <v>0</v>
      </c>
      <c r="H145" s="84">
        <v>107000</v>
      </c>
      <c r="I145" s="85"/>
      <c r="J145" s="86">
        <f>Table6[[#This Row],[Total Value Including Tax]]*$J$5</f>
        <v>5885</v>
      </c>
      <c r="K145" s="86">
        <f>Table6[[#This Row],[Total Value Including Tax]]-Table6[[#This Row],[Less GST Tax @5.5%]]</f>
        <v>101115</v>
      </c>
      <c r="L145" s="86">
        <f>Table6[[#This Row],[Remaining Value]]-Table6[[#This Row],[Add GST Tax @18% Full]]</f>
        <v>101115</v>
      </c>
      <c r="M145" s="86"/>
      <c r="N145" s="86">
        <f>Table6[[#This Row],[Less GST Tax @18% Value]]-Table6[[#This Row],[Transfer Amount]]</f>
        <v>101115</v>
      </c>
    </row>
    <row r="146" spans="1:14" ht="21.95" customHeight="1" x14ac:dyDescent="0.35">
      <c r="A146" s="69">
        <v>46070</v>
      </c>
      <c r="B146" s="70">
        <v>9175</v>
      </c>
      <c r="C146" s="71" t="s">
        <v>94</v>
      </c>
      <c r="D146" s="84">
        <v>15200</v>
      </c>
      <c r="E146" s="84">
        <v>0</v>
      </c>
      <c r="F146" s="84">
        <v>15200</v>
      </c>
      <c r="G146" s="84">
        <v>0</v>
      </c>
      <c r="H146" s="84">
        <v>15200</v>
      </c>
      <c r="I146" s="85"/>
      <c r="J146" s="86">
        <f>Table6[[#This Row],[Total Value Including Tax]]*$J$5</f>
        <v>836</v>
      </c>
      <c r="K146" s="86">
        <f>Table6[[#This Row],[Total Value Including Tax]]-Table6[[#This Row],[Less GST Tax @5.5%]]</f>
        <v>14364</v>
      </c>
      <c r="L146" s="86">
        <f>Table6[[#This Row],[Remaining Value]]-Table6[[#This Row],[Add GST Tax @18% Full]]</f>
        <v>14364</v>
      </c>
      <c r="M146" s="86"/>
      <c r="N146" s="86">
        <f>Table6[[#This Row],[Less GST Tax @18% Value]]-Table6[[#This Row],[Transfer Amount]]</f>
        <v>14364</v>
      </c>
    </row>
    <row r="147" spans="1:14" ht="21.95" customHeight="1" x14ac:dyDescent="0.35">
      <c r="A147" s="69">
        <v>46070</v>
      </c>
      <c r="B147" s="70">
        <v>9176</v>
      </c>
      <c r="C147" s="71" t="s">
        <v>94</v>
      </c>
      <c r="D147" s="84">
        <v>2500</v>
      </c>
      <c r="E147" s="84">
        <v>0</v>
      </c>
      <c r="F147" s="84">
        <v>2500</v>
      </c>
      <c r="G147" s="84">
        <v>0</v>
      </c>
      <c r="H147" s="84">
        <v>2500</v>
      </c>
      <c r="I147" s="85"/>
      <c r="J147" s="86">
        <f>Table6[[#This Row],[Total Value Including Tax]]*$J$5</f>
        <v>137.5</v>
      </c>
      <c r="K147" s="86">
        <f>Table6[[#This Row],[Total Value Including Tax]]-Table6[[#This Row],[Less GST Tax @5.5%]]</f>
        <v>2362.5</v>
      </c>
      <c r="L147" s="86">
        <f>Table6[[#This Row],[Remaining Value]]-Table6[[#This Row],[Add GST Tax @18% Full]]</f>
        <v>2362.5</v>
      </c>
      <c r="M147" s="86"/>
      <c r="N147" s="86">
        <f>Table6[[#This Row],[Less GST Tax @18% Value]]-Table6[[#This Row],[Transfer Amount]]</f>
        <v>2362.5</v>
      </c>
    </row>
    <row r="148" spans="1:14" ht="21.95" customHeight="1" x14ac:dyDescent="0.35">
      <c r="A148" s="69">
        <v>46071</v>
      </c>
      <c r="B148" s="70">
        <v>9177</v>
      </c>
      <c r="C148" s="71" t="s">
        <v>48</v>
      </c>
      <c r="D148" s="84">
        <v>11000</v>
      </c>
      <c r="E148" s="84">
        <v>0</v>
      </c>
      <c r="F148" s="84">
        <v>11000</v>
      </c>
      <c r="G148" s="84">
        <v>0</v>
      </c>
      <c r="H148" s="84">
        <v>11000</v>
      </c>
      <c r="I148" s="85"/>
      <c r="J148" s="86">
        <f>Table6[[#This Row],[Total Value Including Tax]]*$J$5</f>
        <v>605</v>
      </c>
      <c r="K148" s="86">
        <f>Table6[[#This Row],[Total Value Including Tax]]-Table6[[#This Row],[Less GST Tax @5.5%]]</f>
        <v>10395</v>
      </c>
      <c r="L148" s="86">
        <f>Table6[[#This Row],[Remaining Value]]-Table6[[#This Row],[Add GST Tax @18% Full]]</f>
        <v>10395</v>
      </c>
      <c r="M148" s="86"/>
      <c r="N148" s="86">
        <f>Table6[[#This Row],[Less GST Tax @18% Value]]-Table6[[#This Row],[Transfer Amount]]</f>
        <v>10395</v>
      </c>
    </row>
    <row r="149" spans="1:14" ht="21.95" customHeight="1" x14ac:dyDescent="0.35">
      <c r="A149" s="69">
        <v>46071</v>
      </c>
      <c r="B149" s="70">
        <v>9178</v>
      </c>
      <c r="C149" s="71" t="s">
        <v>106</v>
      </c>
      <c r="D149" s="84">
        <v>6000</v>
      </c>
      <c r="E149" s="84">
        <v>0</v>
      </c>
      <c r="F149" s="84">
        <v>6000</v>
      </c>
      <c r="G149" s="84">
        <v>0</v>
      </c>
      <c r="H149" s="84">
        <v>6000</v>
      </c>
      <c r="I149" s="85"/>
      <c r="J149" s="86">
        <f>Table6[[#This Row],[Total Value Including Tax]]*$J$5</f>
        <v>330</v>
      </c>
      <c r="K149" s="86">
        <f>Table6[[#This Row],[Total Value Including Tax]]-Table6[[#This Row],[Less GST Tax @5.5%]]</f>
        <v>5670</v>
      </c>
      <c r="L149" s="86">
        <f>Table6[[#This Row],[Remaining Value]]-Table6[[#This Row],[Add GST Tax @18% Full]]</f>
        <v>5670</v>
      </c>
      <c r="M149" s="86"/>
      <c r="N149" s="86">
        <f>Table6[[#This Row],[Less GST Tax @18% Value]]-Table6[[#This Row],[Transfer Amount]]</f>
        <v>5670</v>
      </c>
    </row>
    <row r="150" spans="1:14" ht="21.95" customHeight="1" x14ac:dyDescent="0.35">
      <c r="A150" s="130">
        <v>46071</v>
      </c>
      <c r="B150" s="131">
        <v>9179</v>
      </c>
      <c r="C150" s="132" t="s">
        <v>106</v>
      </c>
      <c r="D150" s="133">
        <v>8500</v>
      </c>
      <c r="E150" s="133">
        <v>0</v>
      </c>
      <c r="F150" s="133">
        <v>8500</v>
      </c>
      <c r="G150" s="133">
        <v>0</v>
      </c>
      <c r="H150" s="133">
        <v>8500</v>
      </c>
      <c r="I150" s="134"/>
      <c r="J150" s="135">
        <f>Table6[[#This Row],[Total Value Including Tax]]*$J$5</f>
        <v>467.5</v>
      </c>
      <c r="K150" s="135">
        <f>Table6[[#This Row],[Total Value Including Tax]]-Table6[[#This Row],[Less GST Tax @5.5%]]</f>
        <v>8032.5</v>
      </c>
      <c r="L150" s="135">
        <f>Table6[[#This Row],[Remaining Value]]-Table6[[#This Row],[Add GST Tax @18% Full]]</f>
        <v>8032.5</v>
      </c>
      <c r="M150" s="135"/>
      <c r="N150" s="135">
        <f>Table6[[#This Row],[Less GST Tax @18% Value]]-Table6[[#This Row],[Transfer Amount]]</f>
        <v>8032.5</v>
      </c>
    </row>
    <row r="151" spans="1:14" ht="21.95" customHeight="1" x14ac:dyDescent="0.35">
      <c r="A151" s="69">
        <v>46071</v>
      </c>
      <c r="B151" s="70">
        <v>9178</v>
      </c>
      <c r="C151" s="71" t="s">
        <v>107</v>
      </c>
      <c r="D151" s="84">
        <v>15500</v>
      </c>
      <c r="E151" s="84">
        <v>0</v>
      </c>
      <c r="F151" s="84">
        <v>15500</v>
      </c>
      <c r="G151" s="84">
        <v>0</v>
      </c>
      <c r="H151" s="84">
        <v>15500</v>
      </c>
      <c r="I151" s="85"/>
      <c r="J151" s="86">
        <f>Table6[[#This Row],[Total Value Including Tax]]*$J$5</f>
        <v>852.5</v>
      </c>
      <c r="K151" s="86">
        <f>Table6[[#This Row],[Total Value Including Tax]]-Table6[[#This Row],[Less GST Tax @5.5%]]</f>
        <v>14647.5</v>
      </c>
      <c r="L151" s="86">
        <f>Table6[[#This Row],[Remaining Value]]-Table6[[#This Row],[Add GST Tax @18% Full]]</f>
        <v>14647.5</v>
      </c>
      <c r="M151" s="86"/>
      <c r="N151" s="86">
        <f>Table6[[#This Row],[Less GST Tax @18% Value]]-Table6[[#This Row],[Transfer Amount]]</f>
        <v>14647.5</v>
      </c>
    </row>
    <row r="152" spans="1:14" ht="21.95" customHeight="1" x14ac:dyDescent="0.35">
      <c r="A152" s="69">
        <v>46072</v>
      </c>
      <c r="B152" s="70">
        <v>9180</v>
      </c>
      <c r="C152" s="71" t="s">
        <v>49</v>
      </c>
      <c r="D152" s="84">
        <v>142000</v>
      </c>
      <c r="E152" s="84">
        <v>0</v>
      </c>
      <c r="F152" s="84">
        <v>142000</v>
      </c>
      <c r="G152" s="84">
        <v>0</v>
      </c>
      <c r="H152" s="84">
        <v>142000</v>
      </c>
      <c r="I152" s="85"/>
      <c r="J152" s="86">
        <f>Table6[[#This Row],[Total Value Including Tax]]*$J$5</f>
        <v>7810</v>
      </c>
      <c r="K152" s="86">
        <f>Table6[[#This Row],[Total Value Including Tax]]-Table6[[#This Row],[Less GST Tax @5.5%]]</f>
        <v>134190</v>
      </c>
      <c r="L152" s="86">
        <f>Table6[[#This Row],[Remaining Value]]-Table6[[#This Row],[Add GST Tax @18% Full]]</f>
        <v>134190</v>
      </c>
      <c r="M152" s="86"/>
      <c r="N152" s="86">
        <f>Table6[[#This Row],[Less GST Tax @18% Value]]-Table6[[#This Row],[Transfer Amount]]</f>
        <v>134190</v>
      </c>
    </row>
    <row r="153" spans="1:14" ht="21.95" customHeight="1" x14ac:dyDescent="0.35">
      <c r="A153" s="69">
        <v>46072</v>
      </c>
      <c r="B153" s="70">
        <v>9181</v>
      </c>
      <c r="C153" s="71" t="s">
        <v>51</v>
      </c>
      <c r="D153" s="84">
        <v>407550</v>
      </c>
      <c r="E153" s="84">
        <v>0</v>
      </c>
      <c r="F153" s="84">
        <v>407550</v>
      </c>
      <c r="G153" s="84">
        <v>0</v>
      </c>
      <c r="H153" s="84">
        <v>407550</v>
      </c>
      <c r="I153" s="85"/>
      <c r="J153" s="86">
        <f>Table6[[#This Row],[Total Value Including Tax]]*$J$5</f>
        <v>22415.25</v>
      </c>
      <c r="K153" s="86">
        <f>Table6[[#This Row],[Total Value Including Tax]]-Table6[[#This Row],[Less GST Tax @5.5%]]</f>
        <v>385134.75</v>
      </c>
      <c r="L153" s="86">
        <f>Table6[[#This Row],[Remaining Value]]-Table6[[#This Row],[Add GST Tax @18% Full]]</f>
        <v>385134.75</v>
      </c>
      <c r="M153" s="86"/>
      <c r="N153" s="86">
        <f>Table6[[#This Row],[Less GST Tax @18% Value]]-Table6[[#This Row],[Transfer Amount]]</f>
        <v>385134.75</v>
      </c>
    </row>
    <row r="154" spans="1:14" ht="21.95" customHeight="1" x14ac:dyDescent="0.35">
      <c r="A154" s="69">
        <v>46076</v>
      </c>
      <c r="B154" s="70">
        <v>9171</v>
      </c>
      <c r="C154" s="71" t="s">
        <v>94</v>
      </c>
      <c r="D154" s="84">
        <v>150780</v>
      </c>
      <c r="E154" s="84">
        <v>0</v>
      </c>
      <c r="F154" s="84">
        <v>150780</v>
      </c>
      <c r="G154" s="84">
        <v>0</v>
      </c>
      <c r="H154" s="84">
        <v>150780</v>
      </c>
      <c r="I154" s="85"/>
      <c r="J154" s="86">
        <f>Table6[[#This Row],[Total Value Including Tax]]*$J$5</f>
        <v>8292.9</v>
      </c>
      <c r="K154" s="86">
        <f>Table6[[#This Row],[Total Value Including Tax]]-Table6[[#This Row],[Less GST Tax @5.5%]]</f>
        <v>142487.1</v>
      </c>
      <c r="L154" s="86">
        <f>Table6[[#This Row],[Remaining Value]]-Table6[[#This Row],[Add GST Tax @18% Full]]</f>
        <v>142487.1</v>
      </c>
      <c r="M154" s="86"/>
      <c r="N154" s="86">
        <f>Table6[[#This Row],[Less GST Tax @18% Value]]-Table6[[#This Row],[Transfer Amount]]</f>
        <v>142487.1</v>
      </c>
    </row>
    <row r="155" spans="1:14" ht="21.95" customHeight="1" x14ac:dyDescent="0.35">
      <c r="A155" s="69">
        <v>46077</v>
      </c>
      <c r="B155" s="70">
        <v>9182</v>
      </c>
      <c r="C155" s="71" t="s">
        <v>94</v>
      </c>
      <c r="D155" s="84">
        <v>324500</v>
      </c>
      <c r="E155" s="84">
        <v>0</v>
      </c>
      <c r="F155" s="84">
        <v>324500</v>
      </c>
      <c r="G155" s="84">
        <v>0</v>
      </c>
      <c r="H155" s="84">
        <v>324500</v>
      </c>
      <c r="I155" s="85"/>
      <c r="J155" s="86">
        <f>Table6[[#This Row],[Total Value Including Tax]]*$J$5</f>
        <v>17847.5</v>
      </c>
      <c r="K155" s="86">
        <f>Table6[[#This Row],[Total Value Including Tax]]-Table6[[#This Row],[Less GST Tax @5.5%]]</f>
        <v>306652.5</v>
      </c>
      <c r="L155" s="86">
        <f>Table6[[#This Row],[Remaining Value]]-Table6[[#This Row],[Add GST Tax @18% Full]]</f>
        <v>306652.5</v>
      </c>
      <c r="M155" s="86"/>
      <c r="N155" s="86">
        <f>Table6[[#This Row],[Less GST Tax @18% Value]]-Table6[[#This Row],[Transfer Amount]]</f>
        <v>306652.5</v>
      </c>
    </row>
    <row r="156" spans="1:14" ht="21.95" customHeight="1" x14ac:dyDescent="0.35">
      <c r="A156" s="69">
        <v>46077</v>
      </c>
      <c r="B156" s="70">
        <v>9183</v>
      </c>
      <c r="C156" s="71" t="s">
        <v>94</v>
      </c>
      <c r="D156" s="84">
        <v>324500</v>
      </c>
      <c r="E156" s="84">
        <v>0</v>
      </c>
      <c r="F156" s="84">
        <v>324500</v>
      </c>
      <c r="G156" s="84">
        <v>0</v>
      </c>
      <c r="H156" s="84">
        <v>324500</v>
      </c>
      <c r="I156" s="85"/>
      <c r="J156" s="86">
        <f>Table6[[#This Row],[Total Value Including Tax]]*$J$5</f>
        <v>17847.5</v>
      </c>
      <c r="K156" s="86">
        <f>Table6[[#This Row],[Total Value Including Tax]]-Table6[[#This Row],[Less GST Tax @5.5%]]</f>
        <v>306652.5</v>
      </c>
      <c r="L156" s="86">
        <f>Table6[[#This Row],[Remaining Value]]-Table6[[#This Row],[Add GST Tax @18% Full]]</f>
        <v>306652.5</v>
      </c>
      <c r="M156" s="86"/>
      <c r="N156" s="86">
        <f>Table6[[#This Row],[Less GST Tax @18% Value]]-Table6[[#This Row],[Transfer Amount]]</f>
        <v>306652.5</v>
      </c>
    </row>
    <row r="157" spans="1:14" ht="21.95" customHeight="1" x14ac:dyDescent="0.35">
      <c r="A157" s="69">
        <v>46077</v>
      </c>
      <c r="B157" s="70">
        <v>9184</v>
      </c>
      <c r="C157" s="71" t="s">
        <v>94</v>
      </c>
      <c r="D157" s="84">
        <v>324500</v>
      </c>
      <c r="E157" s="84">
        <v>0</v>
      </c>
      <c r="F157" s="84">
        <v>324500</v>
      </c>
      <c r="G157" s="84">
        <v>0</v>
      </c>
      <c r="H157" s="84">
        <v>324500</v>
      </c>
      <c r="I157" s="85"/>
      <c r="J157" s="86">
        <f>Table6[[#This Row],[Total Value Including Tax]]*$J$5</f>
        <v>17847.5</v>
      </c>
      <c r="K157" s="86">
        <f>Table6[[#This Row],[Total Value Including Tax]]-Table6[[#This Row],[Less GST Tax @5.5%]]</f>
        <v>306652.5</v>
      </c>
      <c r="L157" s="86">
        <f>Table6[[#This Row],[Remaining Value]]-Table6[[#This Row],[Add GST Tax @18% Full]]</f>
        <v>306652.5</v>
      </c>
      <c r="M157" s="86"/>
      <c r="N157" s="86">
        <f>Table6[[#This Row],[Less GST Tax @18% Value]]-Table6[[#This Row],[Transfer Amount]]</f>
        <v>306652.5</v>
      </c>
    </row>
    <row r="158" spans="1:14" ht="21.95" customHeight="1" x14ac:dyDescent="0.35">
      <c r="A158" s="69">
        <v>46078</v>
      </c>
      <c r="B158" s="70">
        <v>9185</v>
      </c>
      <c r="C158" s="71" t="s">
        <v>54</v>
      </c>
      <c r="D158" s="84">
        <v>2500</v>
      </c>
      <c r="E158" s="84">
        <v>0</v>
      </c>
      <c r="F158" s="84">
        <v>2500</v>
      </c>
      <c r="G158" s="84">
        <v>0</v>
      </c>
      <c r="H158" s="84">
        <v>2500</v>
      </c>
      <c r="I158" s="85"/>
      <c r="J158" s="86">
        <f>Table6[[#This Row],[Total Value Including Tax]]*$J$5</f>
        <v>137.5</v>
      </c>
      <c r="K158" s="86">
        <f>Table6[[#This Row],[Total Value Including Tax]]-Table6[[#This Row],[Less GST Tax @5.5%]]</f>
        <v>2362.5</v>
      </c>
      <c r="L158" s="86">
        <f>Table6[[#This Row],[Remaining Value]]-Table6[[#This Row],[Add GST Tax @18% Full]]</f>
        <v>2362.5</v>
      </c>
      <c r="M158" s="86"/>
      <c r="N158" s="86">
        <f>Table6[[#This Row],[Less GST Tax @18% Value]]-Table6[[#This Row],[Transfer Amount]]</f>
        <v>2362.5</v>
      </c>
    </row>
    <row r="159" spans="1:14" ht="21.95" customHeight="1" x14ac:dyDescent="0.35">
      <c r="A159" s="69">
        <v>46078</v>
      </c>
      <c r="B159" s="70">
        <v>9186</v>
      </c>
      <c r="C159" s="71" t="s">
        <v>42</v>
      </c>
      <c r="D159" s="84">
        <v>16900</v>
      </c>
      <c r="E159" s="84">
        <v>0</v>
      </c>
      <c r="F159" s="84">
        <v>16900</v>
      </c>
      <c r="G159" s="84">
        <v>0</v>
      </c>
      <c r="H159" s="84">
        <v>16900</v>
      </c>
      <c r="I159" s="85"/>
      <c r="J159" s="86">
        <f>Table6[[#This Row],[Total Value Including Tax]]*$J$5</f>
        <v>929.5</v>
      </c>
      <c r="K159" s="86">
        <f>Table6[[#This Row],[Total Value Including Tax]]-Table6[[#This Row],[Less GST Tax @5.5%]]</f>
        <v>15970.5</v>
      </c>
      <c r="L159" s="86">
        <f>Table6[[#This Row],[Remaining Value]]-Table6[[#This Row],[Add GST Tax @18% Full]]</f>
        <v>15970.5</v>
      </c>
      <c r="M159" s="86"/>
      <c r="N159" s="86">
        <f>Table6[[#This Row],[Less GST Tax @18% Value]]-Table6[[#This Row],[Transfer Amount]]</f>
        <v>15970.5</v>
      </c>
    </row>
    <row r="160" spans="1:14" ht="21.95" customHeight="1" x14ac:dyDescent="0.35">
      <c r="A160" s="69"/>
      <c r="B160" s="70"/>
      <c r="C160" s="71"/>
      <c r="D160" s="84"/>
      <c r="E160" s="84"/>
      <c r="F160" s="84"/>
      <c r="G160" s="84"/>
      <c r="H160" s="84"/>
      <c r="I160" s="85"/>
      <c r="J160" s="86">
        <f>Table6[[#This Row],[Total Value Including Tax]]*$J$5</f>
        <v>0</v>
      </c>
      <c r="K160" s="86">
        <f>Table6[[#This Row],[Total Value Including Tax]]-Table6[[#This Row],[Less GST Tax @5.5%]]</f>
        <v>0</v>
      </c>
      <c r="L160" s="86">
        <f>Table6[[#This Row],[Remaining Value]]-Table6[[#This Row],[Add GST Tax @18% Full]]</f>
        <v>0</v>
      </c>
      <c r="M160" s="86"/>
      <c r="N160" s="86">
        <f>Table6[[#This Row],[Less GST Tax @18% Value]]-Table6[[#This Row],[Transfer Amount]]</f>
        <v>0</v>
      </c>
    </row>
    <row r="161" spans="1:14" ht="21.95" customHeight="1" x14ac:dyDescent="0.35">
      <c r="A161" s="69">
        <v>46079</v>
      </c>
      <c r="B161" s="70">
        <v>9187</v>
      </c>
      <c r="C161" s="71" t="s">
        <v>98</v>
      </c>
      <c r="D161" s="84">
        <v>5600</v>
      </c>
      <c r="E161" s="84">
        <v>0</v>
      </c>
      <c r="F161" s="84">
        <v>5600</v>
      </c>
      <c r="G161" s="84">
        <v>0</v>
      </c>
      <c r="H161" s="84">
        <v>5600</v>
      </c>
      <c r="I161" s="85"/>
      <c r="J161" s="86">
        <f>Table6[[#This Row],[Total Value Including Tax]]*$J$5</f>
        <v>308</v>
      </c>
      <c r="K161" s="86">
        <f>Table6[[#This Row],[Total Value Including Tax]]-Table6[[#This Row],[Less GST Tax @5.5%]]</f>
        <v>5292</v>
      </c>
      <c r="L161" s="86">
        <f>Table6[[#This Row],[Remaining Value]]-Table6[[#This Row],[Add GST Tax @18% Full]]</f>
        <v>5292</v>
      </c>
      <c r="M161" s="86"/>
      <c r="N161" s="86">
        <f>Table6[[#This Row],[Less GST Tax @18% Value]]-Table6[[#This Row],[Transfer Amount]]</f>
        <v>5292</v>
      </c>
    </row>
    <row r="162" spans="1:14" ht="21.95" customHeight="1" x14ac:dyDescent="0.35">
      <c r="A162" s="69">
        <v>46079</v>
      </c>
      <c r="B162" s="70">
        <v>9188</v>
      </c>
      <c r="C162" s="71" t="s">
        <v>44</v>
      </c>
      <c r="D162" s="84">
        <v>25000</v>
      </c>
      <c r="E162" s="84">
        <v>0</v>
      </c>
      <c r="F162" s="84">
        <v>25000</v>
      </c>
      <c r="G162" s="84">
        <v>0</v>
      </c>
      <c r="H162" s="84">
        <v>25000</v>
      </c>
      <c r="I162" s="85"/>
      <c r="J162" s="86">
        <f>Table6[[#This Row],[Total Value Including Tax]]*$J$5</f>
        <v>1375</v>
      </c>
      <c r="K162" s="86">
        <f>Table6[[#This Row],[Total Value Including Tax]]-Table6[[#This Row],[Less GST Tax @5.5%]]</f>
        <v>23625</v>
      </c>
      <c r="L162" s="86">
        <f>Table6[[#This Row],[Remaining Value]]-Table6[[#This Row],[Add GST Tax @18% Full]]</f>
        <v>23625</v>
      </c>
      <c r="M162" s="86"/>
      <c r="N162" s="86">
        <f>Table6[[#This Row],[Less GST Tax @18% Value]]-Table6[[#This Row],[Transfer Amount]]</f>
        <v>23625</v>
      </c>
    </row>
    <row r="163" spans="1:14" ht="21.95" customHeight="1" x14ac:dyDescent="0.35">
      <c r="A163" s="69">
        <v>46083</v>
      </c>
      <c r="B163" s="70">
        <v>9189</v>
      </c>
      <c r="C163" s="71" t="s">
        <v>65</v>
      </c>
      <c r="D163" s="84">
        <v>6000</v>
      </c>
      <c r="E163" s="84">
        <v>0</v>
      </c>
      <c r="F163" s="84">
        <v>6000</v>
      </c>
      <c r="G163" s="84">
        <v>0</v>
      </c>
      <c r="H163" s="84">
        <v>6000</v>
      </c>
      <c r="I163" s="85"/>
      <c r="J163" s="86">
        <f>Table6[[#This Row],[Total Value Including Tax]]*$J$5</f>
        <v>330</v>
      </c>
      <c r="K163" s="86">
        <f>Table6[[#This Row],[Total Value Including Tax]]-Table6[[#This Row],[Less GST Tax @5.5%]]</f>
        <v>5670</v>
      </c>
      <c r="L163" s="86">
        <f>Table6[[#This Row],[Remaining Value]]-Table6[[#This Row],[Add GST Tax @18% Full]]</f>
        <v>5670</v>
      </c>
      <c r="M163" s="86"/>
      <c r="N163" s="86">
        <f>Table6[[#This Row],[Less GST Tax @18% Value]]-Table6[[#This Row],[Transfer Amount]]</f>
        <v>5670</v>
      </c>
    </row>
    <row r="164" spans="1:14" ht="21.95" customHeight="1" x14ac:dyDescent="0.35">
      <c r="A164" s="69">
        <v>46083</v>
      </c>
      <c r="B164" s="70">
        <v>9190</v>
      </c>
      <c r="C164" s="71" t="s">
        <v>65</v>
      </c>
      <c r="D164" s="84">
        <v>1700</v>
      </c>
      <c r="E164" s="84">
        <v>0</v>
      </c>
      <c r="F164" s="84">
        <v>1700</v>
      </c>
      <c r="G164" s="84">
        <v>0</v>
      </c>
      <c r="H164" s="84">
        <v>1700</v>
      </c>
      <c r="I164" s="85"/>
      <c r="J164" s="86">
        <f>Table6[[#This Row],[Total Value Including Tax]]*$J$5</f>
        <v>93.5</v>
      </c>
      <c r="K164" s="86">
        <f>Table6[[#This Row],[Total Value Including Tax]]-Table6[[#This Row],[Less GST Tax @5.5%]]</f>
        <v>1606.5</v>
      </c>
      <c r="L164" s="86">
        <f>Table6[[#This Row],[Remaining Value]]-Table6[[#This Row],[Add GST Tax @18% Full]]</f>
        <v>1606.5</v>
      </c>
      <c r="M164" s="86"/>
      <c r="N164" s="86">
        <f>Table6[[#This Row],[Less GST Tax @18% Value]]-Table6[[#This Row],[Transfer Amount]]</f>
        <v>1606.5</v>
      </c>
    </row>
    <row r="165" spans="1:14" ht="21.95" customHeight="1" x14ac:dyDescent="0.35">
      <c r="A165" s="69">
        <v>46087</v>
      </c>
      <c r="B165" s="70">
        <v>9191</v>
      </c>
      <c r="C165" s="71" t="s">
        <v>98</v>
      </c>
      <c r="D165" s="84">
        <v>4400</v>
      </c>
      <c r="E165" s="84">
        <v>0</v>
      </c>
      <c r="F165" s="84">
        <v>4400</v>
      </c>
      <c r="G165" s="84">
        <v>0</v>
      </c>
      <c r="H165" s="84">
        <v>4400</v>
      </c>
      <c r="I165" s="85"/>
      <c r="J165" s="86">
        <f>Table6[[#This Row],[Total Value Including Tax]]*$J$5</f>
        <v>242</v>
      </c>
      <c r="K165" s="86">
        <f>Table6[[#This Row],[Total Value Including Tax]]-Table6[[#This Row],[Less GST Tax @5.5%]]</f>
        <v>4158</v>
      </c>
      <c r="L165" s="86">
        <f>Table6[[#This Row],[Remaining Value]]-Table6[[#This Row],[Add GST Tax @18% Full]]</f>
        <v>4158</v>
      </c>
      <c r="M165" s="86"/>
      <c r="N165" s="86">
        <f>Table6[[#This Row],[Less GST Tax @18% Value]]-Table6[[#This Row],[Transfer Amount]]</f>
        <v>4158</v>
      </c>
    </row>
    <row r="166" spans="1:14" ht="21.95" customHeight="1" x14ac:dyDescent="0.35">
      <c r="A166" s="69">
        <v>46087</v>
      </c>
      <c r="B166" s="70">
        <v>9192</v>
      </c>
      <c r="C166" s="71" t="s">
        <v>107</v>
      </c>
      <c r="D166" s="84">
        <v>3350</v>
      </c>
      <c r="E166" s="84">
        <v>0</v>
      </c>
      <c r="F166" s="84">
        <v>3350</v>
      </c>
      <c r="G166" s="84">
        <v>0</v>
      </c>
      <c r="H166" s="84">
        <v>3350</v>
      </c>
      <c r="I166" s="85"/>
      <c r="J166" s="86">
        <f>Table6[[#This Row],[Total Value Including Tax]]*$J$5</f>
        <v>184.25</v>
      </c>
      <c r="K166" s="86">
        <f>Table6[[#This Row],[Total Value Including Tax]]-Table6[[#This Row],[Less GST Tax @5.5%]]</f>
        <v>3165.75</v>
      </c>
      <c r="L166" s="86">
        <f>Table6[[#This Row],[Remaining Value]]-Table6[[#This Row],[Add GST Tax @18% Full]]</f>
        <v>3165.75</v>
      </c>
      <c r="M166" s="86"/>
      <c r="N166" s="86">
        <f>Table6[[#This Row],[Less GST Tax @18% Value]]-Table6[[#This Row],[Transfer Amount]]</f>
        <v>3165.75</v>
      </c>
    </row>
    <row r="167" spans="1:14" ht="21.95" customHeight="1" x14ac:dyDescent="0.35">
      <c r="A167" s="130">
        <v>46091</v>
      </c>
      <c r="B167" s="131">
        <v>9193</v>
      </c>
      <c r="C167" s="132" t="s">
        <v>107</v>
      </c>
      <c r="D167" s="133">
        <v>1500</v>
      </c>
      <c r="E167" s="133">
        <v>0</v>
      </c>
      <c r="F167" s="133">
        <v>1500</v>
      </c>
      <c r="G167" s="133">
        <v>0</v>
      </c>
      <c r="H167" s="133">
        <v>1500</v>
      </c>
      <c r="I167" s="134"/>
      <c r="J167" s="135">
        <f>Table6[[#This Row],[Total Value Including Tax]]*$J$5</f>
        <v>82.5</v>
      </c>
      <c r="K167" s="135">
        <f>Table6[[#This Row],[Total Value Including Tax]]-Table6[[#This Row],[Less GST Tax @5.5%]]</f>
        <v>1417.5</v>
      </c>
      <c r="L167" s="135">
        <f>Table6[[#This Row],[Remaining Value]]-Table6[[#This Row],[Add GST Tax @18% Full]]</f>
        <v>1417.5</v>
      </c>
      <c r="M167" s="135"/>
      <c r="N167" s="135">
        <f>Table6[[#This Row],[Less GST Tax @18% Value]]-Table6[[#This Row],[Transfer Amount]]</f>
        <v>1417.5</v>
      </c>
    </row>
    <row r="168" spans="1:14" ht="21.95" customHeight="1" x14ac:dyDescent="0.35">
      <c r="A168" s="69">
        <v>46093</v>
      </c>
      <c r="B168" s="70">
        <v>9194</v>
      </c>
      <c r="C168" s="71" t="s">
        <v>69</v>
      </c>
      <c r="D168" s="84">
        <v>7500</v>
      </c>
      <c r="E168" s="84">
        <v>0</v>
      </c>
      <c r="F168" s="84">
        <v>7500</v>
      </c>
      <c r="G168" s="84">
        <v>0</v>
      </c>
      <c r="H168" s="84">
        <v>7500</v>
      </c>
      <c r="I168" s="85"/>
      <c r="J168" s="86">
        <f>Table6[[#This Row],[Total Value Including Tax]]*$J$5</f>
        <v>412.5</v>
      </c>
      <c r="K168" s="86">
        <f>Table6[[#This Row],[Total Value Including Tax]]-Table6[[#This Row],[Less GST Tax @5.5%]]</f>
        <v>7087.5</v>
      </c>
      <c r="L168" s="86">
        <f>Table6[[#This Row],[Remaining Value]]-Table6[[#This Row],[Add GST Tax @18% Full]]</f>
        <v>7087.5</v>
      </c>
      <c r="M168" s="86"/>
      <c r="N168" s="86">
        <f>Table6[[#This Row],[Less GST Tax @18% Value]]-Table6[[#This Row],[Transfer Amount]]</f>
        <v>7087.5</v>
      </c>
    </row>
    <row r="169" spans="1:14" ht="21.95" customHeight="1" x14ac:dyDescent="0.35">
      <c r="A169" s="69">
        <v>46095</v>
      </c>
      <c r="B169" s="70">
        <v>9196</v>
      </c>
      <c r="C169" s="71" t="s">
        <v>75</v>
      </c>
      <c r="D169" s="84">
        <v>556000</v>
      </c>
      <c r="E169" s="84">
        <v>0</v>
      </c>
      <c r="F169" s="84">
        <v>556000</v>
      </c>
      <c r="G169" s="84">
        <v>0</v>
      </c>
      <c r="H169" s="84">
        <v>556000</v>
      </c>
      <c r="I169" s="85"/>
      <c r="J169" s="86">
        <f>Table6[[#This Row],[Total Value Including Tax]]*$J$5</f>
        <v>30580</v>
      </c>
      <c r="K169" s="86">
        <f>Table6[[#This Row],[Total Value Including Tax]]-Table6[[#This Row],[Less GST Tax @5.5%]]</f>
        <v>525420</v>
      </c>
      <c r="L169" s="86">
        <f>Table6[[#This Row],[Remaining Value]]-Table6[[#This Row],[Add GST Tax @18% Full]]</f>
        <v>525420</v>
      </c>
      <c r="M169" s="86"/>
      <c r="N169" s="86">
        <f>Table6[[#This Row],[Less GST Tax @18% Value]]-Table6[[#This Row],[Transfer Amount]]</f>
        <v>525420</v>
      </c>
    </row>
    <row r="170" spans="1:14" ht="21.95" customHeight="1" x14ac:dyDescent="0.35">
      <c r="A170" s="69">
        <v>46099</v>
      </c>
      <c r="B170" s="70">
        <v>9197</v>
      </c>
      <c r="C170" s="71" t="s">
        <v>108</v>
      </c>
      <c r="D170" s="84">
        <v>120000</v>
      </c>
      <c r="E170" s="84">
        <v>0</v>
      </c>
      <c r="F170" s="84">
        <v>120000</v>
      </c>
      <c r="G170" s="84">
        <v>0</v>
      </c>
      <c r="H170" s="84">
        <v>120000</v>
      </c>
      <c r="I170" s="85"/>
      <c r="J170" s="86">
        <f>Table6[[#This Row],[Total Value Including Tax]]*$J$5</f>
        <v>6600</v>
      </c>
      <c r="K170" s="86">
        <f>Table6[[#This Row],[Total Value Including Tax]]-Table6[[#This Row],[Less GST Tax @5.5%]]</f>
        <v>113400</v>
      </c>
      <c r="L170" s="86">
        <f>Table6[[#This Row],[Remaining Value]]-Table6[[#This Row],[Add GST Tax @18% Full]]</f>
        <v>113400</v>
      </c>
      <c r="M170" s="86"/>
      <c r="N170" s="86">
        <f>Table6[[#This Row],[Less GST Tax @18% Value]]-Table6[[#This Row],[Transfer Amount]]</f>
        <v>113400</v>
      </c>
    </row>
    <row r="171" spans="1:14" ht="21.95" customHeight="1" x14ac:dyDescent="0.35">
      <c r="A171" s="69">
        <v>46106</v>
      </c>
      <c r="B171" s="70">
        <v>9198</v>
      </c>
      <c r="C171" s="71" t="s">
        <v>94</v>
      </c>
      <c r="D171" s="84">
        <v>318402</v>
      </c>
      <c r="E171" s="84">
        <v>0</v>
      </c>
      <c r="F171" s="84">
        <v>318402</v>
      </c>
      <c r="G171" s="84">
        <v>0</v>
      </c>
      <c r="H171" s="84">
        <v>318402</v>
      </c>
      <c r="I171" s="85"/>
      <c r="J171" s="86">
        <f>Table6[[#This Row],[Total Value Including Tax]]*$J$5</f>
        <v>17512.11</v>
      </c>
      <c r="K171" s="86">
        <f>Table6[[#This Row],[Total Value Including Tax]]-Table6[[#This Row],[Less GST Tax @5.5%]]</f>
        <v>300889.89</v>
      </c>
      <c r="L171" s="86">
        <f>Table6[[#This Row],[Remaining Value]]-Table6[[#This Row],[Add GST Tax @18% Full]]</f>
        <v>300889.89</v>
      </c>
      <c r="M171" s="86"/>
      <c r="N171" s="86">
        <f>Table6[[#This Row],[Less GST Tax @18% Value]]-Table6[[#This Row],[Transfer Amount]]</f>
        <v>300889.89</v>
      </c>
    </row>
    <row r="172" spans="1:14" ht="21.95" customHeight="1" x14ac:dyDescent="0.35">
      <c r="A172" s="69">
        <v>46106</v>
      </c>
      <c r="B172" s="70">
        <v>9199</v>
      </c>
      <c r="C172" s="71" t="s">
        <v>94</v>
      </c>
      <c r="D172" s="84">
        <v>7500</v>
      </c>
      <c r="E172" s="84">
        <v>0</v>
      </c>
      <c r="F172" s="84">
        <v>7500</v>
      </c>
      <c r="G172" s="84">
        <v>0</v>
      </c>
      <c r="H172" s="84">
        <v>7500</v>
      </c>
      <c r="I172" s="85"/>
      <c r="J172" s="86">
        <f>Table6[[#This Row],[Total Value Including Tax]]*$J$5</f>
        <v>412.5</v>
      </c>
      <c r="K172" s="86">
        <f>Table6[[#This Row],[Total Value Including Tax]]-Table6[[#This Row],[Less GST Tax @5.5%]]</f>
        <v>7087.5</v>
      </c>
      <c r="L172" s="86">
        <f>Table6[[#This Row],[Remaining Value]]-Table6[[#This Row],[Add GST Tax @18% Full]]</f>
        <v>7087.5</v>
      </c>
      <c r="M172" s="86"/>
      <c r="N172" s="86">
        <f>Table6[[#This Row],[Less GST Tax @18% Value]]-Table6[[#This Row],[Transfer Amount]]</f>
        <v>7087.5</v>
      </c>
    </row>
    <row r="173" spans="1:14" ht="21.95" customHeight="1" x14ac:dyDescent="0.35">
      <c r="A173" s="69">
        <v>46106</v>
      </c>
      <c r="B173" s="70">
        <v>9200</v>
      </c>
      <c r="C173" s="71" t="s">
        <v>94</v>
      </c>
      <c r="D173" s="84">
        <v>13500</v>
      </c>
      <c r="E173" s="84">
        <v>0</v>
      </c>
      <c r="F173" s="84">
        <v>13500</v>
      </c>
      <c r="G173" s="84">
        <v>0</v>
      </c>
      <c r="H173" s="84">
        <v>13500</v>
      </c>
      <c r="I173" s="85"/>
      <c r="J173" s="86">
        <f>Table6[[#This Row],[Total Value Including Tax]]*$J$5</f>
        <v>742.5</v>
      </c>
      <c r="K173" s="86">
        <f>Table6[[#This Row],[Total Value Including Tax]]-Table6[[#This Row],[Less GST Tax @5.5%]]</f>
        <v>12757.5</v>
      </c>
      <c r="L173" s="86">
        <f>Table6[[#This Row],[Remaining Value]]-Table6[[#This Row],[Add GST Tax @18% Full]]</f>
        <v>12757.5</v>
      </c>
      <c r="M173" s="86"/>
      <c r="N173" s="86">
        <f>Table6[[#This Row],[Less GST Tax @18% Value]]-Table6[[#This Row],[Transfer Amount]]</f>
        <v>12757.5</v>
      </c>
    </row>
    <row r="174" spans="1:14" ht="21.95" customHeight="1" x14ac:dyDescent="0.35">
      <c r="A174" s="69">
        <v>46106</v>
      </c>
      <c r="B174" s="70">
        <v>9201</v>
      </c>
      <c r="C174" s="71" t="s">
        <v>52</v>
      </c>
      <c r="D174" s="84">
        <v>1500</v>
      </c>
      <c r="E174" s="84">
        <v>0</v>
      </c>
      <c r="F174" s="84">
        <v>1500</v>
      </c>
      <c r="G174" s="84">
        <v>0</v>
      </c>
      <c r="H174" s="84">
        <v>1500</v>
      </c>
      <c r="I174" s="85"/>
      <c r="J174" s="86">
        <f>Table6[[#This Row],[Total Value Including Tax]]*$J$5</f>
        <v>82.5</v>
      </c>
      <c r="K174" s="86">
        <f>Table6[[#This Row],[Total Value Including Tax]]-Table6[[#This Row],[Less GST Tax @5.5%]]</f>
        <v>1417.5</v>
      </c>
      <c r="L174" s="86">
        <f>Table6[[#This Row],[Remaining Value]]-Table6[[#This Row],[Add GST Tax @18% Full]]</f>
        <v>1417.5</v>
      </c>
      <c r="M174" s="86"/>
      <c r="N174" s="86">
        <f>Table6[[#This Row],[Less GST Tax @18% Value]]-Table6[[#This Row],[Transfer Amount]]</f>
        <v>1417.5</v>
      </c>
    </row>
    <row r="175" spans="1:14" ht="21.95" customHeight="1" x14ac:dyDescent="0.35">
      <c r="A175" s="69">
        <v>46107</v>
      </c>
      <c r="B175" s="70">
        <v>9202</v>
      </c>
      <c r="C175" s="71" t="s">
        <v>48</v>
      </c>
      <c r="D175" s="84">
        <v>3000</v>
      </c>
      <c r="E175" s="84">
        <v>0</v>
      </c>
      <c r="F175" s="84">
        <v>3000</v>
      </c>
      <c r="G175" s="84">
        <v>0</v>
      </c>
      <c r="H175" s="84">
        <v>3000</v>
      </c>
      <c r="I175" s="85"/>
      <c r="J175" s="86">
        <f>Table6[[#This Row],[Total Value Including Tax]]*$J$5</f>
        <v>165</v>
      </c>
      <c r="K175" s="86">
        <f>Table6[[#This Row],[Total Value Including Tax]]-Table6[[#This Row],[Less GST Tax @5.5%]]</f>
        <v>2835</v>
      </c>
      <c r="L175" s="86">
        <f>Table6[[#This Row],[Remaining Value]]-Table6[[#This Row],[Add GST Tax @18% Full]]</f>
        <v>2835</v>
      </c>
      <c r="M175" s="86"/>
      <c r="N175" s="86">
        <f>Table6[[#This Row],[Less GST Tax @18% Value]]-Table6[[#This Row],[Transfer Amount]]</f>
        <v>2835</v>
      </c>
    </row>
    <row r="176" spans="1:14" ht="21.95" customHeight="1" x14ac:dyDescent="0.35">
      <c r="A176" s="69">
        <v>46107</v>
      </c>
      <c r="B176" s="70">
        <v>9203</v>
      </c>
      <c r="C176" s="71" t="s">
        <v>94</v>
      </c>
      <c r="D176" s="84">
        <v>24338</v>
      </c>
      <c r="E176" s="84">
        <v>0</v>
      </c>
      <c r="F176" s="84">
        <v>24338</v>
      </c>
      <c r="G176" s="84">
        <v>0</v>
      </c>
      <c r="H176" s="84">
        <v>24338</v>
      </c>
      <c r="I176" s="85"/>
      <c r="J176" s="86">
        <f>Table6[[#This Row],[Total Value Including Tax]]*$J$5</f>
        <v>1338.59</v>
      </c>
      <c r="K176" s="86">
        <f>Table6[[#This Row],[Total Value Including Tax]]-Table6[[#This Row],[Less GST Tax @5.5%]]</f>
        <v>22999.41</v>
      </c>
      <c r="L176" s="86">
        <f>Table6[[#This Row],[Remaining Value]]-Table6[[#This Row],[Add GST Tax @18% Full]]</f>
        <v>22999.41</v>
      </c>
      <c r="M176" s="86"/>
      <c r="N176" s="86">
        <f>Table6[[#This Row],[Less GST Tax @18% Value]]-Table6[[#This Row],[Transfer Amount]]</f>
        <v>22999.41</v>
      </c>
    </row>
    <row r="177" spans="1:14" ht="21.95" customHeight="1" x14ac:dyDescent="0.35">
      <c r="A177" s="69">
        <v>46111</v>
      </c>
      <c r="B177" s="70">
        <v>9204</v>
      </c>
      <c r="C177" s="71" t="s">
        <v>56</v>
      </c>
      <c r="D177" s="84">
        <v>13700</v>
      </c>
      <c r="E177" s="84"/>
      <c r="F177" s="84">
        <v>13700</v>
      </c>
      <c r="G177" s="84">
        <v>0</v>
      </c>
      <c r="H177" s="84">
        <v>13700</v>
      </c>
      <c r="I177" s="85"/>
      <c r="J177" s="86">
        <f>Table6[[#This Row],[Total Value Including Tax]]*$J$5</f>
        <v>753.5</v>
      </c>
      <c r="K177" s="86">
        <f>Table6[[#This Row],[Total Value Including Tax]]-Table6[[#This Row],[Less GST Tax @5.5%]]</f>
        <v>12946.5</v>
      </c>
      <c r="L177" s="86">
        <f>Table6[[#This Row],[Remaining Value]]-Table6[[#This Row],[Add GST Tax @18% Full]]</f>
        <v>12946.5</v>
      </c>
      <c r="M177" s="86"/>
      <c r="N177" s="86">
        <f>Table6[[#This Row],[Less GST Tax @18% Value]]-Table6[[#This Row],[Transfer Amount]]</f>
        <v>12946.5</v>
      </c>
    </row>
    <row r="178" spans="1:14" ht="21.95" customHeight="1" x14ac:dyDescent="0.35">
      <c r="A178" s="69">
        <v>46112</v>
      </c>
      <c r="B178" s="70">
        <v>9205</v>
      </c>
      <c r="C178" s="71" t="s">
        <v>66</v>
      </c>
      <c r="D178" s="84">
        <v>4800</v>
      </c>
      <c r="E178" s="84"/>
      <c r="F178" s="84">
        <v>4800</v>
      </c>
      <c r="G178" s="84">
        <v>0</v>
      </c>
      <c r="H178" s="84">
        <v>4800</v>
      </c>
      <c r="I178" s="85"/>
      <c r="J178" s="86">
        <f>Table6[[#This Row],[Total Value Including Tax]]*$J$5</f>
        <v>264</v>
      </c>
      <c r="K178" s="86">
        <f>Table6[[#This Row],[Total Value Including Tax]]-Table6[[#This Row],[Less GST Tax @5.5%]]</f>
        <v>4536</v>
      </c>
      <c r="L178" s="86">
        <f>Table6[[#This Row],[Remaining Value]]-Table6[[#This Row],[Add GST Tax @18% Full]]</f>
        <v>4536</v>
      </c>
      <c r="M178" s="86"/>
      <c r="N178" s="86">
        <f>Table6[[#This Row],[Less GST Tax @18% Value]]-Table6[[#This Row],[Transfer Amount]]</f>
        <v>4536</v>
      </c>
    </row>
    <row r="179" spans="1:14" ht="21.95" customHeight="1" x14ac:dyDescent="0.35">
      <c r="A179" s="130"/>
      <c r="B179" s="131"/>
      <c r="C179" s="132"/>
      <c r="D179" s="133"/>
      <c r="E179" s="133"/>
      <c r="F179" s="133"/>
      <c r="G179" s="133"/>
      <c r="H179" s="133"/>
      <c r="I179" s="134"/>
      <c r="J179" s="135">
        <f>Table6[[#This Row],[Total Value Including Tax]]*$J$5</f>
        <v>0</v>
      </c>
      <c r="K179" s="135">
        <f>Table6[[#This Row],[Total Value Including Tax]]-Table6[[#This Row],[Less GST Tax @5.5%]]</f>
        <v>0</v>
      </c>
      <c r="L179" s="135">
        <f>Table6[[#This Row],[Remaining Value]]-Table6[[#This Row],[Add GST Tax @18% Full]]</f>
        <v>0</v>
      </c>
      <c r="M179" s="135"/>
      <c r="N179" s="135">
        <f>Table6[[#This Row],[Less GST Tax @18% Value]]-Table6[[#This Row],[Transfer Amount]]</f>
        <v>0</v>
      </c>
    </row>
    <row r="180" spans="1:14" ht="21.95" customHeight="1" x14ac:dyDescent="0.35">
      <c r="A180" s="69">
        <v>46113</v>
      </c>
      <c r="B180" s="70">
        <v>9206</v>
      </c>
      <c r="C180" s="71" t="s">
        <v>44</v>
      </c>
      <c r="D180" s="84">
        <v>181339</v>
      </c>
      <c r="E180" s="84"/>
      <c r="F180" s="84">
        <v>181339</v>
      </c>
      <c r="G180" s="84">
        <v>0</v>
      </c>
      <c r="H180" s="84">
        <v>181339</v>
      </c>
      <c r="I180" s="85"/>
      <c r="J180" s="86">
        <f>Table6[[#This Row],[Total Value Including Tax]]*$J$5</f>
        <v>9973.6450000000004</v>
      </c>
      <c r="K180" s="86">
        <f>Table6[[#This Row],[Total Value Including Tax]]-Table6[[#This Row],[Less GST Tax @5.5%]]</f>
        <v>171365.35500000001</v>
      </c>
      <c r="L180" s="86">
        <f>Table6[[#This Row],[Remaining Value]]-Table6[[#This Row],[Add GST Tax @18% Full]]</f>
        <v>171365.35500000001</v>
      </c>
      <c r="M180" s="86"/>
      <c r="N180" s="86">
        <f>Table6[[#This Row],[Less GST Tax @18% Value]]-Table6[[#This Row],[Transfer Amount]]</f>
        <v>171365.35500000001</v>
      </c>
    </row>
    <row r="181" spans="1:14" ht="21.95" customHeight="1" x14ac:dyDescent="0.35">
      <c r="A181" s="69">
        <v>46114</v>
      </c>
      <c r="B181" s="70">
        <v>9207</v>
      </c>
      <c r="C181" s="71" t="s">
        <v>76</v>
      </c>
      <c r="D181" s="84">
        <v>178450</v>
      </c>
      <c r="E181" s="84"/>
      <c r="F181" s="84">
        <v>178450</v>
      </c>
      <c r="G181" s="84">
        <v>0</v>
      </c>
      <c r="H181" s="84">
        <v>178450</v>
      </c>
      <c r="I181" s="85"/>
      <c r="J181" s="86">
        <f>Table6[[#This Row],[Total Value Including Tax]]*$J$5</f>
        <v>9814.75</v>
      </c>
      <c r="K181" s="86">
        <f>Table6[[#This Row],[Total Value Including Tax]]-Table6[[#This Row],[Less GST Tax @5.5%]]</f>
        <v>168635.25</v>
      </c>
      <c r="L181" s="86">
        <f>Table6[[#This Row],[Remaining Value]]-Table6[[#This Row],[Add GST Tax @18% Full]]</f>
        <v>168635.25</v>
      </c>
      <c r="M181" s="86"/>
      <c r="N181" s="86">
        <f>Table6[[#This Row],[Less GST Tax @18% Value]]-Table6[[#This Row],[Transfer Amount]]</f>
        <v>168635.25</v>
      </c>
    </row>
    <row r="182" spans="1:14" ht="21.95" customHeight="1" x14ac:dyDescent="0.35">
      <c r="A182" s="69">
        <v>46120</v>
      </c>
      <c r="B182" s="70">
        <v>9209</v>
      </c>
      <c r="C182" s="71" t="s">
        <v>94</v>
      </c>
      <c r="D182" s="84">
        <v>11100</v>
      </c>
      <c r="E182" s="84"/>
      <c r="F182" s="84">
        <v>11000</v>
      </c>
      <c r="G182" s="84">
        <v>0</v>
      </c>
      <c r="H182" s="84">
        <v>11000</v>
      </c>
      <c r="I182" s="85"/>
      <c r="J182" s="86">
        <f>Table6[[#This Row],[Total Value Including Tax]]*$J$5</f>
        <v>605</v>
      </c>
      <c r="K182" s="86">
        <f>Table6[[#This Row],[Total Value Including Tax]]-Table6[[#This Row],[Less GST Tax @5.5%]]</f>
        <v>10395</v>
      </c>
      <c r="L182" s="86">
        <f>Table6[[#This Row],[Remaining Value]]-Table6[[#This Row],[Add GST Tax @18% Full]]</f>
        <v>10395</v>
      </c>
      <c r="M182" s="86"/>
      <c r="N182" s="86">
        <f>Table6[[#This Row],[Less GST Tax @18% Value]]-Table6[[#This Row],[Transfer Amount]]</f>
        <v>10395</v>
      </c>
    </row>
    <row r="183" spans="1:14" ht="21.95" customHeight="1" x14ac:dyDescent="0.35">
      <c r="A183" s="69">
        <v>46120</v>
      </c>
      <c r="B183" s="70">
        <v>9210</v>
      </c>
      <c r="C183" s="71" t="s">
        <v>105</v>
      </c>
      <c r="D183" s="84">
        <v>3000</v>
      </c>
      <c r="E183" s="84"/>
      <c r="F183" s="84">
        <v>3000</v>
      </c>
      <c r="G183" s="84">
        <v>0</v>
      </c>
      <c r="H183" s="84">
        <v>3000</v>
      </c>
      <c r="I183" s="85"/>
      <c r="J183" s="86">
        <f>Table6[[#This Row],[Total Value Including Tax]]*$J$5</f>
        <v>165</v>
      </c>
      <c r="K183" s="86">
        <f>Table6[[#This Row],[Total Value Including Tax]]-Table6[[#This Row],[Less GST Tax @5.5%]]</f>
        <v>2835</v>
      </c>
      <c r="L183" s="86">
        <f>Table6[[#This Row],[Remaining Value]]-Table6[[#This Row],[Add GST Tax @18% Full]]</f>
        <v>2835</v>
      </c>
      <c r="M183" s="86"/>
      <c r="N183" s="86">
        <f>Table6[[#This Row],[Less GST Tax @18% Value]]-Table6[[#This Row],[Transfer Amount]]</f>
        <v>2835</v>
      </c>
    </row>
    <row r="184" spans="1:14" ht="21.95" customHeight="1" x14ac:dyDescent="0.35">
      <c r="A184" s="69">
        <v>46120</v>
      </c>
      <c r="B184" s="70">
        <v>9211</v>
      </c>
      <c r="C184" s="71" t="s">
        <v>105</v>
      </c>
      <c r="D184" s="84">
        <v>1500</v>
      </c>
      <c r="E184" s="84"/>
      <c r="F184" s="84">
        <v>1500</v>
      </c>
      <c r="G184" s="84">
        <v>0</v>
      </c>
      <c r="H184" s="84">
        <v>1500</v>
      </c>
      <c r="I184" s="85"/>
      <c r="J184" s="86">
        <f>Table6[[#This Row],[Total Value Including Tax]]*$J$5</f>
        <v>82.5</v>
      </c>
      <c r="K184" s="86">
        <f>Table6[[#This Row],[Total Value Including Tax]]-Table6[[#This Row],[Less GST Tax @5.5%]]</f>
        <v>1417.5</v>
      </c>
      <c r="L184" s="86">
        <f>Table6[[#This Row],[Remaining Value]]-Table6[[#This Row],[Add GST Tax @18% Full]]</f>
        <v>1417.5</v>
      </c>
      <c r="M184" s="86"/>
      <c r="N184" s="86">
        <f>Table6[[#This Row],[Less GST Tax @18% Value]]-Table6[[#This Row],[Transfer Amount]]</f>
        <v>1417.5</v>
      </c>
    </row>
    <row r="185" spans="1:14" ht="21.95" customHeight="1" x14ac:dyDescent="0.35">
      <c r="A185" s="69">
        <v>46120</v>
      </c>
      <c r="B185" s="70">
        <v>9208</v>
      </c>
      <c r="C185" s="71" t="s">
        <v>94</v>
      </c>
      <c r="D185" s="84">
        <v>16950</v>
      </c>
      <c r="E185" s="84"/>
      <c r="F185" s="84">
        <v>16950</v>
      </c>
      <c r="G185" s="84">
        <v>0</v>
      </c>
      <c r="H185" s="84">
        <v>16950</v>
      </c>
      <c r="I185" s="85"/>
      <c r="J185" s="86">
        <f>Table6[[#This Row],[Total Value Including Tax]]*$J$5</f>
        <v>932.25</v>
      </c>
      <c r="K185" s="86">
        <f>Table6[[#This Row],[Total Value Including Tax]]-Table6[[#This Row],[Less GST Tax @5.5%]]</f>
        <v>16017.75</v>
      </c>
      <c r="L185" s="86">
        <f>Table6[[#This Row],[Remaining Value]]-Table6[[#This Row],[Add GST Tax @18% Full]]</f>
        <v>16017.75</v>
      </c>
      <c r="M185" s="86"/>
      <c r="N185" s="86">
        <f>Table6[[#This Row],[Less GST Tax @18% Value]]-Table6[[#This Row],[Transfer Amount]]</f>
        <v>16017.75</v>
      </c>
    </row>
    <row r="186" spans="1:14" ht="21.95" customHeight="1" x14ac:dyDescent="0.35">
      <c r="A186" s="69">
        <v>46120</v>
      </c>
      <c r="B186" s="70">
        <v>9211</v>
      </c>
      <c r="C186" s="71" t="s">
        <v>94</v>
      </c>
      <c r="D186" s="84">
        <v>49400</v>
      </c>
      <c r="E186" s="84"/>
      <c r="F186" s="84">
        <v>49400</v>
      </c>
      <c r="G186" s="84">
        <v>0</v>
      </c>
      <c r="H186" s="84">
        <v>49400</v>
      </c>
      <c r="I186" s="85"/>
      <c r="J186" s="86">
        <f>Table6[[#This Row],[Total Value Including Tax]]*$J$5</f>
        <v>2717</v>
      </c>
      <c r="K186" s="86">
        <f>Table6[[#This Row],[Total Value Including Tax]]-Table6[[#This Row],[Less GST Tax @5.5%]]</f>
        <v>46683</v>
      </c>
      <c r="L186" s="86">
        <f>Table6[[#This Row],[Remaining Value]]-Table6[[#This Row],[Add GST Tax @18% Full]]</f>
        <v>46683</v>
      </c>
      <c r="M186" s="86"/>
      <c r="N186" s="86">
        <f>Table6[[#This Row],[Less GST Tax @18% Value]]-Table6[[#This Row],[Transfer Amount]]</f>
        <v>46683</v>
      </c>
    </row>
    <row r="187" spans="1:14" ht="21.95" customHeight="1" x14ac:dyDescent="0.35">
      <c r="A187" s="69">
        <v>46120</v>
      </c>
      <c r="B187" s="70">
        <v>9212</v>
      </c>
      <c r="C187" s="71" t="s">
        <v>94</v>
      </c>
      <c r="D187" s="84">
        <v>9000</v>
      </c>
      <c r="E187" s="84"/>
      <c r="F187" s="84">
        <v>9000</v>
      </c>
      <c r="G187" s="84">
        <v>0</v>
      </c>
      <c r="H187" s="84">
        <v>9000</v>
      </c>
      <c r="I187" s="85"/>
      <c r="J187" s="86">
        <f>Table6[[#This Row],[Total Value Including Tax]]*$J$5</f>
        <v>495</v>
      </c>
      <c r="K187" s="86">
        <f>Table6[[#This Row],[Total Value Including Tax]]-Table6[[#This Row],[Less GST Tax @5.5%]]</f>
        <v>8505</v>
      </c>
      <c r="L187" s="86">
        <f>Table6[[#This Row],[Remaining Value]]-Table6[[#This Row],[Add GST Tax @18% Full]]</f>
        <v>8505</v>
      </c>
      <c r="M187" s="86"/>
      <c r="N187" s="86">
        <f>Table6[[#This Row],[Less GST Tax @18% Value]]-Table6[[#This Row],[Transfer Amount]]</f>
        <v>8505</v>
      </c>
    </row>
    <row r="188" spans="1:14" ht="21.95" customHeight="1" x14ac:dyDescent="0.35">
      <c r="A188" s="69">
        <v>46129</v>
      </c>
      <c r="B188" s="70">
        <v>9213</v>
      </c>
      <c r="C188" s="71" t="s">
        <v>94</v>
      </c>
      <c r="D188" s="84">
        <v>24380</v>
      </c>
      <c r="E188" s="84"/>
      <c r="F188" s="84">
        <v>24380</v>
      </c>
      <c r="G188" s="84">
        <v>0</v>
      </c>
      <c r="H188" s="84">
        <v>24380</v>
      </c>
      <c r="I188" s="85"/>
      <c r="J188" s="86">
        <f>Table6[[#This Row],[Total Value Including Tax]]*$J$5</f>
        <v>1340.9</v>
      </c>
      <c r="K188" s="86">
        <f>Table6[[#This Row],[Total Value Including Tax]]-Table6[[#This Row],[Less GST Tax @5.5%]]</f>
        <v>23039.1</v>
      </c>
      <c r="L188" s="86">
        <f>Table6[[#This Row],[Remaining Value]]-Table6[[#This Row],[Add GST Tax @18% Full]]</f>
        <v>23039.1</v>
      </c>
      <c r="M188" s="86"/>
      <c r="N188" s="86">
        <f>Table6[[#This Row],[Less GST Tax @18% Value]]-Table6[[#This Row],[Transfer Amount]]</f>
        <v>23039.1</v>
      </c>
    </row>
    <row r="189" spans="1:14" ht="21.95" customHeight="1" x14ac:dyDescent="0.35">
      <c r="A189" s="69">
        <v>46136</v>
      </c>
      <c r="B189" s="70">
        <v>9212</v>
      </c>
      <c r="C189" s="71" t="s">
        <v>94</v>
      </c>
      <c r="D189" s="84">
        <v>11500</v>
      </c>
      <c r="E189" s="84"/>
      <c r="F189" s="84">
        <v>11500</v>
      </c>
      <c r="G189" s="84">
        <v>0</v>
      </c>
      <c r="H189" s="84">
        <v>11500</v>
      </c>
      <c r="I189" s="85"/>
      <c r="J189" s="86">
        <f>Table6[[#This Row],[Total Value Including Tax]]*$J$5</f>
        <v>632.5</v>
      </c>
      <c r="K189" s="86">
        <f>Table6[[#This Row],[Total Value Including Tax]]-Table6[[#This Row],[Less GST Tax @5.5%]]</f>
        <v>10867.5</v>
      </c>
      <c r="L189" s="86">
        <f>Table6[[#This Row],[Remaining Value]]-Table6[[#This Row],[Add GST Tax @18% Full]]</f>
        <v>10867.5</v>
      </c>
      <c r="M189" s="86"/>
      <c r="N189" s="86">
        <f>Table6[[#This Row],[Less GST Tax @18% Value]]-Table6[[#This Row],[Transfer Amount]]</f>
        <v>10867.5</v>
      </c>
    </row>
    <row r="190" spans="1:14" ht="21.95" customHeight="1" x14ac:dyDescent="0.35">
      <c r="A190" s="69">
        <v>46136</v>
      </c>
      <c r="B190" s="70">
        <v>9215</v>
      </c>
      <c r="C190" s="71" t="s">
        <v>65</v>
      </c>
      <c r="D190" s="84">
        <v>6500</v>
      </c>
      <c r="E190" s="84"/>
      <c r="F190" s="84">
        <v>6500</v>
      </c>
      <c r="G190" s="84">
        <v>0</v>
      </c>
      <c r="H190" s="84">
        <v>6500</v>
      </c>
      <c r="I190" s="85"/>
      <c r="J190" s="86">
        <f>Table6[[#This Row],[Total Value Including Tax]]*$J$5</f>
        <v>357.5</v>
      </c>
      <c r="K190" s="86">
        <f>Table6[[#This Row],[Total Value Including Tax]]-Table6[[#This Row],[Less GST Tax @5.5%]]</f>
        <v>6142.5</v>
      </c>
      <c r="L190" s="86">
        <f>Table6[[#This Row],[Remaining Value]]-Table6[[#This Row],[Add GST Tax @18% Full]]</f>
        <v>6142.5</v>
      </c>
      <c r="M190" s="86"/>
      <c r="N190" s="86">
        <f>Table6[[#This Row],[Less GST Tax @18% Value]]-Table6[[#This Row],[Transfer Amount]]</f>
        <v>6142.5</v>
      </c>
    </row>
    <row r="191" spans="1:14" ht="21.95" customHeight="1" x14ac:dyDescent="0.35">
      <c r="A191" s="69">
        <v>46136</v>
      </c>
      <c r="B191" s="70">
        <v>9216</v>
      </c>
      <c r="C191" s="71" t="s">
        <v>44</v>
      </c>
      <c r="D191" s="84">
        <v>690370</v>
      </c>
      <c r="E191" s="84"/>
      <c r="F191" s="84">
        <v>690370</v>
      </c>
      <c r="G191" s="84">
        <v>0</v>
      </c>
      <c r="H191" s="84">
        <v>690370</v>
      </c>
      <c r="I191" s="85"/>
      <c r="J191" s="86">
        <f>Table6[[#This Row],[Total Value Including Tax]]*$J$5</f>
        <v>37970.35</v>
      </c>
      <c r="K191" s="86">
        <f>Table6[[#This Row],[Total Value Including Tax]]-Table6[[#This Row],[Less GST Tax @5.5%]]</f>
        <v>652399.65</v>
      </c>
      <c r="L191" s="86">
        <f>Table6[[#This Row],[Remaining Value]]-Table6[[#This Row],[Add GST Tax @18% Full]]</f>
        <v>652399.65</v>
      </c>
      <c r="M191" s="86"/>
      <c r="N191" s="86">
        <f>Table6[[#This Row],[Less GST Tax @18% Value]]-Table6[[#This Row],[Transfer Amount]]</f>
        <v>652399.65</v>
      </c>
    </row>
    <row r="192" spans="1:14" ht="21.95" customHeight="1" x14ac:dyDescent="0.35">
      <c r="A192" s="69">
        <v>46139</v>
      </c>
      <c r="B192" s="70">
        <v>9217</v>
      </c>
      <c r="C192" s="71" t="s">
        <v>44</v>
      </c>
      <c r="D192" s="84">
        <v>110000</v>
      </c>
      <c r="E192" s="84"/>
      <c r="F192" s="84">
        <v>110000</v>
      </c>
      <c r="G192" s="84">
        <v>0</v>
      </c>
      <c r="H192" s="84">
        <v>110000</v>
      </c>
      <c r="I192" s="85"/>
      <c r="J192" s="86">
        <f>Table6[[#This Row],[Total Value Including Tax]]*$J$5</f>
        <v>6050</v>
      </c>
      <c r="K192" s="86">
        <f>Table6[[#This Row],[Total Value Including Tax]]-Table6[[#This Row],[Less GST Tax @5.5%]]</f>
        <v>103950</v>
      </c>
      <c r="L192" s="86">
        <f>Table6[[#This Row],[Remaining Value]]-Table6[[#This Row],[Add GST Tax @18% Full]]</f>
        <v>103950</v>
      </c>
      <c r="M192" s="86"/>
      <c r="N192" s="86">
        <f>Table6[[#This Row],[Less GST Tax @18% Value]]-Table6[[#This Row],[Transfer Amount]]</f>
        <v>103950</v>
      </c>
    </row>
    <row r="193" spans="1:14" ht="21.95" customHeight="1" x14ac:dyDescent="0.35">
      <c r="A193" s="69">
        <v>46140</v>
      </c>
      <c r="B193" s="70">
        <v>9218</v>
      </c>
      <c r="C193" s="71" t="s">
        <v>44</v>
      </c>
      <c r="D193" s="84">
        <v>148144</v>
      </c>
      <c r="E193" s="84"/>
      <c r="F193" s="84">
        <v>148144</v>
      </c>
      <c r="G193" s="84">
        <v>0</v>
      </c>
      <c r="H193" s="84">
        <v>148144</v>
      </c>
      <c r="I193" s="85"/>
      <c r="J193" s="86">
        <f>Table6[[#This Row],[Total Value Including Tax]]*$J$5</f>
        <v>8147.92</v>
      </c>
      <c r="K193" s="86">
        <f>Table6[[#This Row],[Total Value Including Tax]]-Table6[[#This Row],[Less GST Tax @5.5%]]</f>
        <v>139996.07999999999</v>
      </c>
      <c r="L193" s="86">
        <f>Table6[[#This Row],[Remaining Value]]-Table6[[#This Row],[Add GST Tax @18% Full]]</f>
        <v>139996.07999999999</v>
      </c>
      <c r="M193" s="86"/>
      <c r="N193" s="86">
        <f>Table6[[#This Row],[Less GST Tax @18% Value]]-Table6[[#This Row],[Transfer Amount]]</f>
        <v>139996.07999999999</v>
      </c>
    </row>
    <row r="194" spans="1:14" ht="21.95" customHeight="1" x14ac:dyDescent="0.35">
      <c r="A194" s="69">
        <v>46140</v>
      </c>
      <c r="B194" s="70">
        <v>9218</v>
      </c>
      <c r="C194" s="71" t="s">
        <v>44</v>
      </c>
      <c r="D194" s="84">
        <v>1144204</v>
      </c>
      <c r="E194" s="84"/>
      <c r="F194" s="84">
        <v>1144204</v>
      </c>
      <c r="G194" s="84">
        <v>0</v>
      </c>
      <c r="H194" s="84">
        <v>1144204</v>
      </c>
      <c r="I194" s="85"/>
      <c r="J194" s="86">
        <f>Table6[[#This Row],[Total Value Including Tax]]*$J$5</f>
        <v>62931.22</v>
      </c>
      <c r="K194" s="86">
        <f>Table6[[#This Row],[Total Value Including Tax]]-Table6[[#This Row],[Less GST Tax @5.5%]]</f>
        <v>1081272.78</v>
      </c>
      <c r="L194" s="86">
        <f>Table6[[#This Row],[Remaining Value]]-Table6[[#This Row],[Add GST Tax @18% Full]]</f>
        <v>1081272.78</v>
      </c>
      <c r="M194" s="86"/>
      <c r="N194" s="86">
        <f>Table6[[#This Row],[Less GST Tax @18% Value]]-Table6[[#This Row],[Transfer Amount]]</f>
        <v>1081272.78</v>
      </c>
    </row>
    <row r="195" spans="1:14" ht="21.95" customHeight="1" x14ac:dyDescent="0.35">
      <c r="A195" s="69">
        <v>46140</v>
      </c>
      <c r="B195" s="70">
        <v>9219</v>
      </c>
      <c r="C195" s="71" t="s">
        <v>44</v>
      </c>
      <c r="D195" s="84">
        <v>134391</v>
      </c>
      <c r="E195" s="84"/>
      <c r="F195" s="84">
        <v>134391</v>
      </c>
      <c r="G195" s="84">
        <v>0</v>
      </c>
      <c r="H195" s="84">
        <v>134391</v>
      </c>
      <c r="I195" s="85"/>
      <c r="J195" s="86">
        <f>Table6[[#This Row],[Total Value Including Tax]]*$J$5</f>
        <v>7391.5050000000001</v>
      </c>
      <c r="K195" s="86">
        <f>Table6[[#This Row],[Total Value Including Tax]]-Table6[[#This Row],[Less GST Tax @5.5%]]</f>
        <v>126999.495</v>
      </c>
      <c r="L195" s="86">
        <f>Table6[[#This Row],[Remaining Value]]-Table6[[#This Row],[Add GST Tax @18% Full]]</f>
        <v>126999.495</v>
      </c>
      <c r="M195" s="86"/>
      <c r="N195" s="86">
        <f>Table6[[#This Row],[Less GST Tax @18% Value]]-Table6[[#This Row],[Transfer Amount]]</f>
        <v>126999.495</v>
      </c>
    </row>
    <row r="196" spans="1:14" ht="21.95" customHeight="1" x14ac:dyDescent="0.35">
      <c r="A196" s="69">
        <v>46141</v>
      </c>
      <c r="B196" s="70">
        <v>9220</v>
      </c>
      <c r="C196" s="71" t="s">
        <v>56</v>
      </c>
      <c r="D196" s="84">
        <v>9500</v>
      </c>
      <c r="E196" s="84"/>
      <c r="F196" s="84">
        <v>9500</v>
      </c>
      <c r="G196" s="84">
        <v>0</v>
      </c>
      <c r="H196" s="84">
        <v>9500</v>
      </c>
      <c r="I196" s="85"/>
      <c r="J196" s="86">
        <f>Table6[[#This Row],[Total Value Including Tax]]*$J$5</f>
        <v>522.5</v>
      </c>
      <c r="K196" s="86">
        <f>Table6[[#This Row],[Total Value Including Tax]]-Table6[[#This Row],[Less GST Tax @5.5%]]</f>
        <v>8977.5</v>
      </c>
      <c r="L196" s="86">
        <f>Table6[[#This Row],[Remaining Value]]-Table6[[#This Row],[Add GST Tax @18% Full]]</f>
        <v>8977.5</v>
      </c>
      <c r="M196" s="86"/>
      <c r="N196" s="86">
        <f>Table6[[#This Row],[Less GST Tax @18% Value]]-Table6[[#This Row],[Transfer Amount]]</f>
        <v>8977.5</v>
      </c>
    </row>
    <row r="197" spans="1:14" ht="21.95" customHeight="1" x14ac:dyDescent="0.35">
      <c r="A197" s="130">
        <v>46146</v>
      </c>
      <c r="B197" s="131">
        <v>9221</v>
      </c>
      <c r="C197" s="132" t="s">
        <v>56</v>
      </c>
      <c r="D197" s="133">
        <v>6500</v>
      </c>
      <c r="E197" s="133"/>
      <c r="F197" s="133">
        <v>6500</v>
      </c>
      <c r="G197" s="133">
        <v>0</v>
      </c>
      <c r="H197" s="133">
        <v>6500</v>
      </c>
      <c r="I197" s="134"/>
      <c r="J197" s="135">
        <f>Table6[[#This Row],[Total Value Including Tax]]*$J$5</f>
        <v>357.5</v>
      </c>
      <c r="K197" s="135">
        <f>Table6[[#This Row],[Total Value Including Tax]]-Table6[[#This Row],[Less GST Tax @5.5%]]</f>
        <v>6142.5</v>
      </c>
      <c r="L197" s="135">
        <f>Table6[[#This Row],[Remaining Value]]-Table6[[#This Row],[Add GST Tax @18% Full]]</f>
        <v>6142.5</v>
      </c>
      <c r="M197" s="135"/>
      <c r="N197" s="135">
        <f>Table6[[#This Row],[Less GST Tax @18% Value]]-Table6[[#This Row],[Transfer Amount]]</f>
        <v>6142.5</v>
      </c>
    </row>
    <row r="198" spans="1:14" ht="21.95" customHeight="1" x14ac:dyDescent="0.35">
      <c r="A198" s="130">
        <v>46146</v>
      </c>
      <c r="B198" s="131">
        <v>9222</v>
      </c>
      <c r="C198" s="132" t="s">
        <v>50</v>
      </c>
      <c r="D198" s="133">
        <v>615000</v>
      </c>
      <c r="E198" s="133"/>
      <c r="F198" s="133">
        <v>615000</v>
      </c>
      <c r="G198" s="133">
        <v>0</v>
      </c>
      <c r="H198" s="133">
        <v>615000</v>
      </c>
      <c r="I198" s="134"/>
      <c r="J198" s="135">
        <f>Table6[[#This Row],[Total Value Including Tax]]*$J$5</f>
        <v>33825</v>
      </c>
      <c r="K198" s="135">
        <f>Table6[[#This Row],[Total Value Including Tax]]-Table6[[#This Row],[Less GST Tax @5.5%]]</f>
        <v>581175</v>
      </c>
      <c r="L198" s="135">
        <f>Table6[[#This Row],[Remaining Value]]-Table6[[#This Row],[Add GST Tax @18% Full]]</f>
        <v>581175</v>
      </c>
      <c r="M198" s="135"/>
      <c r="N198" s="135">
        <f>Table6[[#This Row],[Less GST Tax @18% Value]]-Table6[[#This Row],[Transfer Amount]]</f>
        <v>581175</v>
      </c>
    </row>
    <row r="199" spans="1:14" ht="21.95" customHeight="1" x14ac:dyDescent="0.35">
      <c r="A199" s="130">
        <v>46146</v>
      </c>
      <c r="B199" s="131">
        <v>9223</v>
      </c>
      <c r="C199" s="132" t="s">
        <v>109</v>
      </c>
      <c r="D199" s="133">
        <v>29500</v>
      </c>
      <c r="E199" s="133"/>
      <c r="F199" s="133">
        <v>29500</v>
      </c>
      <c r="G199" s="133">
        <v>0</v>
      </c>
      <c r="H199" s="133">
        <v>29500</v>
      </c>
      <c r="I199" s="134"/>
      <c r="J199" s="135">
        <f>Table6[[#This Row],[Total Value Including Tax]]*$J$5</f>
        <v>1622.5</v>
      </c>
      <c r="K199" s="135">
        <f>Table6[[#This Row],[Total Value Including Tax]]-Table6[[#This Row],[Less GST Tax @5.5%]]</f>
        <v>27877.5</v>
      </c>
      <c r="L199" s="135">
        <f>Table6[[#This Row],[Remaining Value]]-Table6[[#This Row],[Add GST Tax @18% Full]]</f>
        <v>27877.5</v>
      </c>
      <c r="M199" s="135"/>
      <c r="N199" s="135">
        <f>Table6[[#This Row],[Less GST Tax @18% Value]]-Table6[[#This Row],[Transfer Amount]]</f>
        <v>27877.5</v>
      </c>
    </row>
    <row r="200" spans="1:14" ht="21.95" customHeight="1" x14ac:dyDescent="0.35">
      <c r="A200" s="69">
        <v>46150</v>
      </c>
      <c r="B200" s="70">
        <v>9224</v>
      </c>
      <c r="C200" s="71" t="s">
        <v>68</v>
      </c>
      <c r="D200" s="84">
        <v>5000</v>
      </c>
      <c r="E200" s="84"/>
      <c r="F200" s="84">
        <v>5000</v>
      </c>
      <c r="G200" s="84">
        <v>0</v>
      </c>
      <c r="H200" s="84">
        <v>5000</v>
      </c>
      <c r="I200" s="85"/>
      <c r="J200" s="86">
        <f>Table6[[#This Row],[Total Value Including Tax]]*$J$5</f>
        <v>275</v>
      </c>
      <c r="K200" s="86">
        <f>Table6[[#This Row],[Total Value Including Tax]]-Table6[[#This Row],[Less GST Tax @5.5%]]</f>
        <v>4725</v>
      </c>
      <c r="L200" s="86">
        <f>Table6[[#This Row],[Remaining Value]]-Table6[[#This Row],[Add GST Tax @18% Full]]</f>
        <v>4725</v>
      </c>
      <c r="M200" s="86"/>
      <c r="N200" s="86">
        <f>Table6[[#This Row],[Less GST Tax @18% Value]]-Table6[[#This Row],[Transfer Amount]]</f>
        <v>4725</v>
      </c>
    </row>
    <row r="201" spans="1:14" ht="21.95" customHeight="1" x14ac:dyDescent="0.35">
      <c r="A201" s="69">
        <v>46150</v>
      </c>
      <c r="B201" s="70">
        <v>9225</v>
      </c>
      <c r="C201" s="71" t="s">
        <v>63</v>
      </c>
      <c r="D201" s="84">
        <v>66050</v>
      </c>
      <c r="E201" s="84"/>
      <c r="F201" s="84">
        <v>66050</v>
      </c>
      <c r="G201" s="84">
        <v>0</v>
      </c>
      <c r="H201" s="84">
        <v>66050</v>
      </c>
      <c r="I201" s="85"/>
      <c r="J201" s="86">
        <f>Table6[[#This Row],[Total Value Including Tax]]*$J$5</f>
        <v>3632.75</v>
      </c>
      <c r="K201" s="86">
        <f>Table6[[#This Row],[Total Value Including Tax]]-Table6[[#This Row],[Less GST Tax @5.5%]]</f>
        <v>62417.25</v>
      </c>
      <c r="L201" s="86">
        <f>Table6[[#This Row],[Remaining Value]]-Table6[[#This Row],[Add GST Tax @18% Full]]</f>
        <v>62417.25</v>
      </c>
      <c r="M201" s="86"/>
      <c r="N201" s="86">
        <f>Table6[[#This Row],[Less GST Tax @18% Value]]-Table6[[#This Row],[Transfer Amount]]</f>
        <v>62417.25</v>
      </c>
    </row>
    <row r="202" spans="1:14" ht="21.95" customHeight="1" x14ac:dyDescent="0.35">
      <c r="A202" s="69"/>
      <c r="B202" s="70"/>
      <c r="C202" s="71"/>
      <c r="D202" s="84"/>
      <c r="E202" s="84"/>
      <c r="F202" s="84"/>
      <c r="G202" s="84"/>
      <c r="H202" s="84"/>
      <c r="I202" s="85"/>
      <c r="J202" s="86">
        <f>Table6[[#This Row],[Total Value Including Tax]]*$J$5</f>
        <v>0</v>
      </c>
      <c r="K202" s="86">
        <f>Table6[[#This Row],[Total Value Including Tax]]-Table6[[#This Row],[Less GST Tax @5.5%]]</f>
        <v>0</v>
      </c>
      <c r="L202" s="86">
        <f>Table6[[#This Row],[Remaining Value]]-Table6[[#This Row],[Add GST Tax @18% Full]]</f>
        <v>0</v>
      </c>
      <c r="M202" s="86"/>
      <c r="N202" s="86">
        <f>Table6[[#This Row],[Less GST Tax @18% Value]]-Table6[[#This Row],[Transfer Amount]]</f>
        <v>0</v>
      </c>
    </row>
    <row r="203" spans="1:14" ht="21.95" customHeight="1" x14ac:dyDescent="0.35">
      <c r="A203" s="69"/>
      <c r="B203" s="70"/>
      <c r="C203" s="71"/>
      <c r="D203" s="84"/>
      <c r="E203" s="84"/>
      <c r="F203" s="84"/>
      <c r="G203" s="84"/>
      <c r="H203" s="84"/>
      <c r="I203" s="85"/>
      <c r="J203" s="86">
        <f>Table6[[#This Row],[Total Value Including Tax]]*$J$5</f>
        <v>0</v>
      </c>
      <c r="K203" s="86">
        <f>Table6[[#This Row],[Total Value Including Tax]]-Table6[[#This Row],[Less GST Tax @5.5%]]</f>
        <v>0</v>
      </c>
      <c r="L203" s="86">
        <f>Table6[[#This Row],[Remaining Value]]-Table6[[#This Row],[Add GST Tax @18% Full]]</f>
        <v>0</v>
      </c>
      <c r="M203" s="86"/>
      <c r="N203" s="86">
        <f>Table6[[#This Row],[Less GST Tax @18% Value]]-Table6[[#This Row],[Transfer Amount]]</f>
        <v>0</v>
      </c>
    </row>
    <row r="204" spans="1:14" ht="21.95" customHeight="1" x14ac:dyDescent="0.35">
      <c r="A204" s="69">
        <v>46150</v>
      </c>
      <c r="B204" s="70">
        <v>9226</v>
      </c>
      <c r="C204" s="71" t="s">
        <v>41</v>
      </c>
      <c r="D204" s="84">
        <v>53100</v>
      </c>
      <c r="E204" s="84"/>
      <c r="F204" s="84">
        <v>53100</v>
      </c>
      <c r="G204" s="84">
        <v>0</v>
      </c>
      <c r="H204" s="84">
        <v>53100</v>
      </c>
      <c r="I204" s="85"/>
      <c r="J204" s="86">
        <f>Table6[[#This Row],[Total Value Including Tax]]*$J$5</f>
        <v>2920.5</v>
      </c>
      <c r="K204" s="86">
        <f>Table6[[#This Row],[Total Value Including Tax]]-Table6[[#This Row],[Less GST Tax @5.5%]]</f>
        <v>50179.5</v>
      </c>
      <c r="L204" s="86">
        <f>Table6[[#This Row],[Remaining Value]]-Table6[[#This Row],[Add GST Tax @18% Full]]</f>
        <v>50179.5</v>
      </c>
      <c r="M204" s="86"/>
      <c r="N204" s="86">
        <f>Table6[[#This Row],[Less GST Tax @18% Value]]-Table6[[#This Row],[Transfer Amount]]</f>
        <v>50179.5</v>
      </c>
    </row>
    <row r="205" spans="1:14" ht="21.95" customHeight="1" x14ac:dyDescent="0.35">
      <c r="A205" s="69">
        <v>46153</v>
      </c>
      <c r="B205" s="70">
        <v>9227</v>
      </c>
      <c r="C205" s="71" t="s">
        <v>94</v>
      </c>
      <c r="D205" s="84">
        <v>5500</v>
      </c>
      <c r="E205" s="84"/>
      <c r="F205" s="84">
        <v>5500</v>
      </c>
      <c r="G205" s="84">
        <v>0</v>
      </c>
      <c r="H205" s="84">
        <v>5500</v>
      </c>
      <c r="I205" s="85"/>
      <c r="J205" s="86">
        <f>Table6[[#This Row],[Total Value Including Tax]]*$J$5</f>
        <v>302.5</v>
      </c>
      <c r="K205" s="86">
        <f>Table6[[#This Row],[Total Value Including Tax]]-Table6[[#This Row],[Less GST Tax @5.5%]]</f>
        <v>5197.5</v>
      </c>
      <c r="L205" s="86">
        <f>Table6[[#This Row],[Remaining Value]]-Table6[[#This Row],[Add GST Tax @18% Full]]</f>
        <v>5197.5</v>
      </c>
      <c r="M205" s="86"/>
      <c r="N205" s="86">
        <f>Table6[[#This Row],[Less GST Tax @18% Value]]-Table6[[#This Row],[Transfer Amount]]</f>
        <v>5197.5</v>
      </c>
    </row>
    <row r="206" spans="1:14" ht="21.95" customHeight="1" x14ac:dyDescent="0.35">
      <c r="A206" s="69">
        <v>46157</v>
      </c>
      <c r="B206" s="70">
        <v>9228</v>
      </c>
      <c r="C206" s="71" t="s">
        <v>110</v>
      </c>
      <c r="D206" s="84">
        <v>7000</v>
      </c>
      <c r="E206" s="84"/>
      <c r="F206" s="84">
        <v>7000</v>
      </c>
      <c r="G206" s="84">
        <v>0</v>
      </c>
      <c r="H206" s="84">
        <v>7000</v>
      </c>
      <c r="I206" s="85"/>
      <c r="J206" s="86">
        <f>Table6[[#This Row],[Total Value Including Tax]]*$J$5</f>
        <v>385</v>
      </c>
      <c r="K206" s="86">
        <f>Table6[[#This Row],[Total Value Including Tax]]-Table6[[#This Row],[Less GST Tax @5.5%]]</f>
        <v>6615</v>
      </c>
      <c r="L206" s="86">
        <f>Table6[[#This Row],[Remaining Value]]-Table6[[#This Row],[Add GST Tax @18% Full]]</f>
        <v>6615</v>
      </c>
      <c r="M206" s="86"/>
      <c r="N206" s="86">
        <f>Table6[[#This Row],[Less GST Tax @18% Value]]-Table6[[#This Row],[Transfer Amount]]</f>
        <v>6615</v>
      </c>
    </row>
    <row r="207" spans="1:14" ht="21.95" customHeight="1" x14ac:dyDescent="0.35">
      <c r="A207" s="69">
        <v>46167.312210648153</v>
      </c>
      <c r="B207" s="70">
        <v>9229</v>
      </c>
      <c r="C207" s="71" t="s">
        <v>44</v>
      </c>
      <c r="D207" s="84">
        <v>162800</v>
      </c>
      <c r="E207" s="84"/>
      <c r="F207" s="84">
        <v>162800</v>
      </c>
      <c r="G207" s="84">
        <v>0</v>
      </c>
      <c r="H207" s="84">
        <v>162800</v>
      </c>
      <c r="I207" s="85"/>
      <c r="J207" s="86">
        <f>Table6[[#This Row],[Total Value Including Tax]]*$J$5</f>
        <v>8954</v>
      </c>
      <c r="K207" s="86">
        <f>Table6[[#This Row],[Total Value Including Tax]]-Table6[[#This Row],[Less GST Tax @5.5%]]</f>
        <v>153846</v>
      </c>
      <c r="L207" s="86">
        <f>Table6[[#This Row],[Remaining Value]]-Table6[[#This Row],[Add GST Tax @18% Full]]</f>
        <v>153846</v>
      </c>
      <c r="M207" s="86"/>
      <c r="N207" s="86">
        <f>Table6[[#This Row],[Less GST Tax @18% Value]]-Table6[[#This Row],[Transfer Amount]]</f>
        <v>153846</v>
      </c>
    </row>
    <row r="208" spans="1:14" ht="21.95" customHeight="1" x14ac:dyDescent="0.35">
      <c r="A208" s="148">
        <v>46179.312210648153</v>
      </c>
      <c r="B208" s="149">
        <v>9230</v>
      </c>
      <c r="C208" s="150" t="s">
        <v>49</v>
      </c>
      <c r="D208" s="151">
        <v>2252580</v>
      </c>
      <c r="E208" s="151"/>
      <c r="F208" s="151">
        <v>2252580</v>
      </c>
      <c r="G208" s="151">
        <v>0</v>
      </c>
      <c r="H208" s="151">
        <v>2252580</v>
      </c>
      <c r="I208" s="152"/>
      <c r="J208" s="153">
        <f>Table6[[#This Row],[Total Value Including Tax]]*$J$5</f>
        <v>123891.9</v>
      </c>
      <c r="K208" s="153">
        <f>Table6[[#This Row],[Total Value Including Tax]]-Table6[[#This Row],[Less GST Tax @5.5%]]</f>
        <v>2128688.1</v>
      </c>
      <c r="L208" s="153">
        <f>Table6[[#This Row],[Remaining Value]]-Table6[[#This Row],[Add GST Tax @18% Full]]</f>
        <v>2128688.1</v>
      </c>
      <c r="M208" s="153"/>
      <c r="N208" s="153">
        <f>Table6[[#This Row],[Less GST Tax @18% Value]]-Table6[[#This Row],[Transfer Amount]]</f>
        <v>2128688.1</v>
      </c>
    </row>
    <row r="209" spans="1:14" ht="21.95" customHeight="1" x14ac:dyDescent="0.35">
      <c r="A209" s="148">
        <v>46179.312210648153</v>
      </c>
      <c r="B209" s="149">
        <v>9231</v>
      </c>
      <c r="C209" s="150" t="s">
        <v>49</v>
      </c>
      <c r="D209" s="151">
        <v>750860</v>
      </c>
      <c r="E209" s="151"/>
      <c r="F209" s="151">
        <v>750860</v>
      </c>
      <c r="G209" s="151">
        <v>0</v>
      </c>
      <c r="H209" s="151">
        <v>750860</v>
      </c>
      <c r="I209" s="152"/>
      <c r="J209" s="153">
        <f>Table6[[#This Row],[Total Value Including Tax]]*$J$5</f>
        <v>41297.300000000003</v>
      </c>
      <c r="K209" s="153">
        <f>Table6[[#This Row],[Total Value Including Tax]]-Table6[[#This Row],[Less GST Tax @5.5%]]</f>
        <v>709562.7</v>
      </c>
      <c r="L209" s="153">
        <f>Table6[[#This Row],[Remaining Value]]-Table6[[#This Row],[Add GST Tax @18% Full]]</f>
        <v>709562.7</v>
      </c>
      <c r="M209" s="153"/>
      <c r="N209" s="153">
        <f>Table6[[#This Row],[Less GST Tax @18% Value]]-Table6[[#This Row],[Transfer Amount]]</f>
        <v>709562.7</v>
      </c>
    </row>
    <row r="210" spans="1:14" ht="21.95" customHeight="1" x14ac:dyDescent="0.35">
      <c r="A210" s="148">
        <v>46182.312210648153</v>
      </c>
      <c r="B210" s="149">
        <v>9232</v>
      </c>
      <c r="C210" s="150" t="s">
        <v>48</v>
      </c>
      <c r="D210" s="151">
        <v>15500</v>
      </c>
      <c r="E210" s="151"/>
      <c r="F210" s="151">
        <v>15500</v>
      </c>
      <c r="G210" s="151">
        <v>0</v>
      </c>
      <c r="H210" s="151">
        <v>15500</v>
      </c>
      <c r="I210" s="152"/>
      <c r="J210" s="153">
        <f>Table6[[#This Row],[Total Value Including Tax]]*$J$5</f>
        <v>852.5</v>
      </c>
      <c r="K210" s="153">
        <f>Table6[[#This Row],[Total Value Including Tax]]-Table6[[#This Row],[Less GST Tax @5.5%]]</f>
        <v>14647.5</v>
      </c>
      <c r="L210" s="153">
        <f>Table6[[#This Row],[Remaining Value]]-Table6[[#This Row],[Add GST Tax @18% Full]]</f>
        <v>14647.5</v>
      </c>
      <c r="M210" s="153"/>
      <c r="N210" s="153">
        <f>Table6[[#This Row],[Less GST Tax @18% Value]]-Table6[[#This Row],[Transfer Amount]]</f>
        <v>14647.5</v>
      </c>
    </row>
    <row r="211" spans="1:14" ht="21.95" customHeight="1" x14ac:dyDescent="0.35">
      <c r="A211" s="148"/>
      <c r="B211" s="149"/>
      <c r="C211" s="150"/>
      <c r="D211" s="151"/>
      <c r="E211" s="151"/>
      <c r="F211" s="151"/>
      <c r="G211" s="151"/>
      <c r="H211" s="151"/>
      <c r="I211" s="152"/>
      <c r="J211" s="153">
        <f>Table6[[#This Row],[Total Value Including Tax]]*$J$5</f>
        <v>0</v>
      </c>
      <c r="K211" s="153">
        <f>Table6[[#This Row],[Total Value Including Tax]]-Table6[[#This Row],[Less GST Tax @5.5%]]</f>
        <v>0</v>
      </c>
      <c r="L211" s="153">
        <f>Table6[[#This Row],[Remaining Value]]-Table6[[#This Row],[Add GST Tax @18% Full]]</f>
        <v>0</v>
      </c>
      <c r="M211" s="153"/>
      <c r="N211" s="153">
        <f>Table6[[#This Row],[Less GST Tax @18% Value]]-Table6[[#This Row],[Transfer Amount]]</f>
        <v>0</v>
      </c>
    </row>
    <row r="212" spans="1:14" ht="21.95" customHeight="1" x14ac:dyDescent="0.35">
      <c r="A212" s="148">
        <v>46182.312210648153</v>
      </c>
      <c r="B212" s="149">
        <v>9233</v>
      </c>
      <c r="C212" s="150" t="s">
        <v>56</v>
      </c>
      <c r="D212" s="151">
        <v>10400</v>
      </c>
      <c r="E212" s="151"/>
      <c r="F212" s="151">
        <v>10400</v>
      </c>
      <c r="G212" s="151">
        <v>0</v>
      </c>
      <c r="H212" s="151">
        <v>10400</v>
      </c>
      <c r="I212" s="152"/>
      <c r="J212" s="153">
        <f>Table6[[#This Row],[Total Value Including Tax]]*$J$5</f>
        <v>572</v>
      </c>
      <c r="K212" s="153">
        <f>Table6[[#This Row],[Total Value Including Tax]]-Table6[[#This Row],[Less GST Tax @5.5%]]</f>
        <v>9828</v>
      </c>
      <c r="L212" s="153">
        <f>Table6[[#This Row],[Remaining Value]]-Table6[[#This Row],[Add GST Tax @18% Full]]</f>
        <v>9828</v>
      </c>
      <c r="M212" s="153"/>
      <c r="N212" s="153">
        <f>Table6[[#This Row],[Less GST Tax @18% Value]]-Table6[[#This Row],[Transfer Amount]]</f>
        <v>9828</v>
      </c>
    </row>
    <row r="213" spans="1:14" ht="21.95" customHeight="1" x14ac:dyDescent="0.35">
      <c r="A213" s="148"/>
      <c r="B213" s="149"/>
      <c r="C213" s="150"/>
      <c r="D213" s="151"/>
      <c r="E213" s="151"/>
      <c r="F213" s="151"/>
      <c r="G213" s="151"/>
      <c r="H213" s="151"/>
      <c r="I213" s="152"/>
      <c r="J213" s="153">
        <f>Table6[[#This Row],[Total Value Including Tax]]*$J$5</f>
        <v>0</v>
      </c>
      <c r="K213" s="153">
        <f>Table6[[#This Row],[Total Value Including Tax]]-Table6[[#This Row],[Less GST Tax @5.5%]]</f>
        <v>0</v>
      </c>
      <c r="L213" s="153">
        <f>Table6[[#This Row],[Remaining Value]]-Table6[[#This Row],[Add GST Tax @18% Full]]</f>
        <v>0</v>
      </c>
      <c r="M213" s="153"/>
      <c r="N213" s="153">
        <f>Table6[[#This Row],[Less GST Tax @18% Value]]-Table6[[#This Row],[Transfer Amount]]</f>
        <v>0</v>
      </c>
    </row>
    <row r="214" spans="1:14" ht="21.95" customHeight="1" x14ac:dyDescent="0.35">
      <c r="A214" s="148">
        <v>46182.312210648153</v>
      </c>
      <c r="B214" s="149">
        <v>9234</v>
      </c>
      <c r="C214" s="150" t="s">
        <v>42</v>
      </c>
      <c r="D214" s="151">
        <v>269085</v>
      </c>
      <c r="E214" s="151"/>
      <c r="F214" s="151">
        <v>269085</v>
      </c>
      <c r="G214" s="151">
        <v>0</v>
      </c>
      <c r="H214" s="151">
        <v>269085</v>
      </c>
      <c r="I214" s="152"/>
      <c r="J214" s="153">
        <f>Table6[[#This Row],[Total Value Including Tax]]*$J$5</f>
        <v>14799.674999999999</v>
      </c>
      <c r="K214" s="153">
        <f>Table6[[#This Row],[Total Value Including Tax]]-Table6[[#This Row],[Less GST Tax @5.5%]]</f>
        <v>254285.32500000001</v>
      </c>
      <c r="L214" s="153">
        <f>Table6[[#This Row],[Remaining Value]]-Table6[[#This Row],[Add GST Tax @18% Full]]</f>
        <v>254285.32500000001</v>
      </c>
      <c r="M214" s="153"/>
      <c r="N214" s="153">
        <f>Table6[[#This Row],[Less GST Tax @18% Value]]-Table6[[#This Row],[Transfer Amount]]</f>
        <v>254285.32500000001</v>
      </c>
    </row>
    <row r="215" spans="1:14" ht="21.95" customHeight="1" x14ac:dyDescent="0.35">
      <c r="A215" s="148">
        <v>46182.312210648153</v>
      </c>
      <c r="B215" s="149">
        <v>9235</v>
      </c>
      <c r="C215" s="150" t="s">
        <v>42</v>
      </c>
      <c r="D215" s="151">
        <v>5000</v>
      </c>
      <c r="E215" s="151"/>
      <c r="F215" s="151">
        <v>5000</v>
      </c>
      <c r="G215" s="151">
        <v>0</v>
      </c>
      <c r="H215" s="151">
        <v>5000</v>
      </c>
      <c r="I215" s="152"/>
      <c r="J215" s="153">
        <f>Table6[[#This Row],[Total Value Including Tax]]*$J$5</f>
        <v>275</v>
      </c>
      <c r="K215" s="153">
        <f>Table6[[#This Row],[Total Value Including Tax]]-Table6[[#This Row],[Less GST Tax @5.5%]]</f>
        <v>4725</v>
      </c>
      <c r="L215" s="153">
        <f>Table6[[#This Row],[Remaining Value]]-Table6[[#This Row],[Add GST Tax @18% Full]]</f>
        <v>4725</v>
      </c>
      <c r="M215" s="153"/>
      <c r="N215" s="153">
        <f>Table6[[#This Row],[Less GST Tax @18% Value]]-Table6[[#This Row],[Transfer Amount]]</f>
        <v>4725</v>
      </c>
    </row>
    <row r="216" spans="1:14" ht="21.95" customHeight="1" x14ac:dyDescent="0.35">
      <c r="A216" s="148"/>
      <c r="B216" s="149"/>
      <c r="C216" s="150"/>
      <c r="D216" s="151"/>
      <c r="E216" s="151"/>
      <c r="F216" s="151"/>
      <c r="G216" s="151"/>
      <c r="H216" s="151"/>
      <c r="I216" s="152"/>
      <c r="J216" s="153">
        <f>Table6[[#This Row],[Total Value Including Tax]]*$J$5</f>
        <v>0</v>
      </c>
      <c r="K216" s="153">
        <f>Table6[[#This Row],[Total Value Including Tax]]-Table6[[#This Row],[Less GST Tax @5.5%]]</f>
        <v>0</v>
      </c>
      <c r="L216" s="153">
        <f>Table6[[#This Row],[Remaining Value]]-Table6[[#This Row],[Add GST Tax @18% Full]]</f>
        <v>0</v>
      </c>
      <c r="M216" s="153"/>
      <c r="N216" s="153">
        <f>Table6[[#This Row],[Less GST Tax @18% Value]]-Table6[[#This Row],[Transfer Amount]]</f>
        <v>0</v>
      </c>
    </row>
    <row r="217" spans="1:14" ht="21.95" customHeight="1" x14ac:dyDescent="0.35">
      <c r="A217" s="148">
        <v>46182.312210648153</v>
      </c>
      <c r="B217" s="149">
        <v>9236</v>
      </c>
      <c r="C217" s="150" t="s">
        <v>48</v>
      </c>
      <c r="D217" s="151">
        <v>10800</v>
      </c>
      <c r="E217" s="151"/>
      <c r="F217" s="151">
        <v>10800</v>
      </c>
      <c r="G217" s="151">
        <v>0</v>
      </c>
      <c r="H217" s="151">
        <v>10800</v>
      </c>
      <c r="I217" s="152"/>
      <c r="J217" s="153">
        <f>Table6[[#This Row],[Total Value Including Tax]]*$J$5</f>
        <v>594</v>
      </c>
      <c r="K217" s="153">
        <f>Table6[[#This Row],[Total Value Including Tax]]-Table6[[#This Row],[Less GST Tax @5.5%]]</f>
        <v>10206</v>
      </c>
      <c r="L217" s="153">
        <f>Table6[[#This Row],[Remaining Value]]-Table6[[#This Row],[Add GST Tax @18% Full]]</f>
        <v>10206</v>
      </c>
      <c r="M217" s="153"/>
      <c r="N217" s="153">
        <f>Table6[[#This Row],[Less GST Tax @18% Value]]-Table6[[#This Row],[Transfer Amount]]</f>
        <v>10206</v>
      </c>
    </row>
    <row r="218" spans="1:14" ht="21.95" customHeight="1" x14ac:dyDescent="0.35">
      <c r="A218" s="148"/>
      <c r="B218" s="149"/>
      <c r="C218" s="150"/>
      <c r="D218" s="151"/>
      <c r="E218" s="151"/>
      <c r="F218" s="151"/>
      <c r="G218" s="151"/>
      <c r="H218" s="151"/>
      <c r="I218" s="152"/>
      <c r="J218" s="153">
        <f>Table6[[#This Row],[Total Value Including Tax]]*$J$5</f>
        <v>0</v>
      </c>
      <c r="K218" s="153">
        <f>Table6[[#This Row],[Total Value Including Tax]]-Table6[[#This Row],[Less GST Tax @5.5%]]</f>
        <v>0</v>
      </c>
      <c r="L218" s="153">
        <f>Table6[[#This Row],[Remaining Value]]-Table6[[#This Row],[Add GST Tax @18% Full]]</f>
        <v>0</v>
      </c>
      <c r="M218" s="153"/>
      <c r="N218" s="153">
        <f>Table6[[#This Row],[Less GST Tax @18% Value]]-Table6[[#This Row],[Transfer Amount]]</f>
        <v>0</v>
      </c>
    </row>
    <row r="219" spans="1:14" ht="21.95" customHeight="1" x14ac:dyDescent="0.35">
      <c r="A219" s="148">
        <v>46189.312210648153</v>
      </c>
      <c r="B219" s="149">
        <v>9237</v>
      </c>
      <c r="C219" s="150" t="s">
        <v>49</v>
      </c>
      <c r="D219" s="151">
        <v>339363</v>
      </c>
      <c r="E219" s="151"/>
      <c r="F219" s="151">
        <v>339363</v>
      </c>
      <c r="G219" s="151">
        <v>0</v>
      </c>
      <c r="H219" s="151">
        <v>339363</v>
      </c>
      <c r="I219" s="152"/>
      <c r="J219" s="153">
        <f>Table6[[#This Row],[Total Value Including Tax]]*$J$5</f>
        <v>18664.965</v>
      </c>
      <c r="K219" s="153">
        <f>Table6[[#This Row],[Total Value Including Tax]]-Table6[[#This Row],[Less GST Tax @5.5%]]</f>
        <v>320698.03499999997</v>
      </c>
      <c r="L219" s="153">
        <f>Table6[[#This Row],[Remaining Value]]-Table6[[#This Row],[Add GST Tax @18% Full]]</f>
        <v>320698.03499999997</v>
      </c>
      <c r="M219" s="153"/>
      <c r="N219" s="153">
        <f>Table6[[#This Row],[Less GST Tax @18% Value]]-Table6[[#This Row],[Transfer Amount]]</f>
        <v>320698.03499999997</v>
      </c>
    </row>
    <row r="220" spans="1:14" ht="21.95" customHeight="1" x14ac:dyDescent="0.35">
      <c r="A220" s="148"/>
      <c r="B220" s="149"/>
      <c r="C220" s="150"/>
      <c r="D220" s="151"/>
      <c r="E220" s="151"/>
      <c r="F220" s="151"/>
      <c r="G220" s="151"/>
      <c r="H220" s="151"/>
      <c r="I220" s="152"/>
      <c r="J220" s="153">
        <f>Table6[[#This Row],[Total Value Including Tax]]*$J$5</f>
        <v>0</v>
      </c>
      <c r="K220" s="153">
        <f>Table6[[#This Row],[Total Value Including Tax]]-Table6[[#This Row],[Less GST Tax @5.5%]]</f>
        <v>0</v>
      </c>
      <c r="L220" s="153">
        <f>Table6[[#This Row],[Remaining Value]]-Table6[[#This Row],[Add GST Tax @18% Full]]</f>
        <v>0</v>
      </c>
      <c r="M220" s="153"/>
      <c r="N220" s="153">
        <f>Table6[[#This Row],[Less GST Tax @18% Value]]-Table6[[#This Row],[Transfer Amount]]</f>
        <v>0</v>
      </c>
    </row>
    <row r="221" spans="1:14" ht="21.95" customHeight="1" x14ac:dyDescent="0.35">
      <c r="A221" s="148">
        <v>46190.312210648153</v>
      </c>
      <c r="B221" s="149">
        <v>9238</v>
      </c>
      <c r="C221" s="150" t="s">
        <v>76</v>
      </c>
      <c r="D221" s="151">
        <v>145000</v>
      </c>
      <c r="E221" s="151"/>
      <c r="F221" s="151">
        <v>145000</v>
      </c>
      <c r="G221" s="151">
        <v>0</v>
      </c>
      <c r="H221" s="151">
        <v>145000</v>
      </c>
      <c r="I221" s="152"/>
      <c r="J221" s="153">
        <f>Table6[[#This Row],[Total Value Including Tax]]*$J$5</f>
        <v>7975</v>
      </c>
      <c r="K221" s="153">
        <f>Table6[[#This Row],[Total Value Including Tax]]-Table6[[#This Row],[Less GST Tax @5.5%]]</f>
        <v>137025</v>
      </c>
      <c r="L221" s="153">
        <f>Table6[[#This Row],[Remaining Value]]-Table6[[#This Row],[Add GST Tax @18% Full]]</f>
        <v>137025</v>
      </c>
      <c r="M221" s="153"/>
      <c r="N221" s="153">
        <f>Table6[[#This Row],[Less GST Tax @18% Value]]-Table6[[#This Row],[Transfer Amount]]</f>
        <v>137025</v>
      </c>
    </row>
    <row r="222" spans="1:14" ht="21.95" customHeight="1" x14ac:dyDescent="0.35">
      <c r="A222" s="148"/>
      <c r="B222" s="149"/>
      <c r="C222" s="150"/>
      <c r="D222" s="151"/>
      <c r="E222" s="151"/>
      <c r="F222" s="151"/>
      <c r="G222" s="151"/>
      <c r="H222" s="151"/>
      <c r="I222" s="152"/>
      <c r="J222" s="153">
        <f>Table6[[#This Row],[Total Value Including Tax]]*$J$5</f>
        <v>0</v>
      </c>
      <c r="K222" s="153">
        <f>Table6[[#This Row],[Total Value Including Tax]]-Table6[[#This Row],[Less GST Tax @5.5%]]</f>
        <v>0</v>
      </c>
      <c r="L222" s="153">
        <f>Table6[[#This Row],[Remaining Value]]-Table6[[#This Row],[Add GST Tax @18% Full]]</f>
        <v>0</v>
      </c>
      <c r="M222" s="153"/>
      <c r="N222" s="153">
        <f>Table6[[#This Row],[Less GST Tax @18% Value]]-Table6[[#This Row],[Transfer Amount]]</f>
        <v>0</v>
      </c>
    </row>
    <row r="223" spans="1:14" ht="21.95" customHeight="1" x14ac:dyDescent="0.35">
      <c r="A223" s="148">
        <v>46200.312210648153</v>
      </c>
      <c r="B223" s="149">
        <v>9239</v>
      </c>
      <c r="C223" s="150" t="s">
        <v>49</v>
      </c>
      <c r="D223" s="151">
        <v>339362</v>
      </c>
      <c r="E223" s="151"/>
      <c r="F223" s="151">
        <v>339362</v>
      </c>
      <c r="G223" s="151">
        <v>0</v>
      </c>
      <c r="H223" s="151">
        <v>339362</v>
      </c>
      <c r="I223" s="152"/>
      <c r="J223" s="153">
        <f>Table6[[#This Row],[Total Value Including Tax]]*$J$5</f>
        <v>18664.91</v>
      </c>
      <c r="K223" s="153">
        <f>Table6[[#This Row],[Total Value Including Tax]]-Table6[[#This Row],[Less GST Tax @5.5%]]</f>
        <v>320697.09000000003</v>
      </c>
      <c r="L223" s="153">
        <f>Table6[[#This Row],[Remaining Value]]-Table6[[#This Row],[Add GST Tax @18% Full]]</f>
        <v>320697.09000000003</v>
      </c>
      <c r="M223" s="153"/>
      <c r="N223" s="153">
        <f>Table6[[#This Row],[Less GST Tax @18% Value]]-Table6[[#This Row],[Transfer Amount]]</f>
        <v>320697.09000000003</v>
      </c>
    </row>
    <row r="224" spans="1:14" ht="21.95" customHeight="1" x14ac:dyDescent="0.35">
      <c r="A224" s="69">
        <v>46202.312210648153</v>
      </c>
      <c r="B224" s="70">
        <v>9240</v>
      </c>
      <c r="C224" s="71" t="s">
        <v>52</v>
      </c>
      <c r="D224" s="84">
        <v>4500</v>
      </c>
      <c r="E224" s="84"/>
      <c r="F224" s="84">
        <v>4500</v>
      </c>
      <c r="G224" s="84">
        <v>0</v>
      </c>
      <c r="H224" s="84">
        <v>4500</v>
      </c>
      <c r="I224" s="85"/>
      <c r="J224" s="86">
        <f>Table6[[#This Row],[Total Value Including Tax]]*$J$5</f>
        <v>247.5</v>
      </c>
      <c r="K224" s="86">
        <f>Table6[[#This Row],[Total Value Including Tax]]-Table6[[#This Row],[Less GST Tax @5.5%]]</f>
        <v>4252.5</v>
      </c>
      <c r="L224" s="86">
        <f>Table6[[#This Row],[Remaining Value]]-Table6[[#This Row],[Add GST Tax @18% Full]]</f>
        <v>4252.5</v>
      </c>
      <c r="M224" s="86"/>
      <c r="N224" s="86">
        <f>Table6[[#This Row],[Less GST Tax @18% Value]]-Table6[[#This Row],[Transfer Amount]]</f>
        <v>4252.5</v>
      </c>
    </row>
    <row r="225" spans="1:14" ht="21.95" customHeight="1" x14ac:dyDescent="0.35">
      <c r="A225" s="69">
        <v>46205.312210648153</v>
      </c>
      <c r="B225" s="70">
        <v>9241</v>
      </c>
      <c r="C225" s="71" t="s">
        <v>44</v>
      </c>
      <c r="D225" s="84">
        <v>3850</v>
      </c>
      <c r="E225" s="84"/>
      <c r="F225" s="84">
        <v>3850</v>
      </c>
      <c r="G225" s="84">
        <v>0</v>
      </c>
      <c r="H225" s="84">
        <v>3850</v>
      </c>
      <c r="I225" s="85"/>
      <c r="J225" s="86">
        <f>Table6[[#This Row],[Total Value Including Tax]]*$J$5</f>
        <v>211.75</v>
      </c>
      <c r="K225" s="86">
        <f>Table6[[#This Row],[Total Value Including Tax]]-Table6[[#This Row],[Less GST Tax @5.5%]]</f>
        <v>3638.25</v>
      </c>
      <c r="L225" s="86">
        <f>Table6[[#This Row],[Remaining Value]]-Table6[[#This Row],[Add GST Tax @18% Full]]</f>
        <v>3638.25</v>
      </c>
      <c r="M225" s="86"/>
      <c r="N225" s="86">
        <f>Table6[[#This Row],[Less GST Tax @18% Value]]-Table6[[#This Row],[Transfer Amount]]</f>
        <v>3638.25</v>
      </c>
    </row>
    <row r="226" spans="1:14" ht="21.95" customHeight="1" x14ac:dyDescent="0.35">
      <c r="A226" s="148">
        <v>46205.312210648153</v>
      </c>
      <c r="B226" s="149">
        <v>9242</v>
      </c>
      <c r="C226" s="150" t="s">
        <v>44</v>
      </c>
      <c r="D226" s="151">
        <v>2000</v>
      </c>
      <c r="E226" s="151"/>
      <c r="F226" s="151">
        <v>2000</v>
      </c>
      <c r="G226" s="151">
        <v>0</v>
      </c>
      <c r="H226" s="151">
        <v>2000</v>
      </c>
      <c r="I226" s="152"/>
      <c r="J226" s="153">
        <f>Table6[[#This Row],[Total Value Including Tax]]*$J$5</f>
        <v>110</v>
      </c>
      <c r="K226" s="153">
        <f>Table6[[#This Row],[Total Value Including Tax]]-Table6[[#This Row],[Less GST Tax @5.5%]]</f>
        <v>1890</v>
      </c>
      <c r="L226" s="153">
        <f>Table6[[#This Row],[Remaining Value]]-Table6[[#This Row],[Add GST Tax @18% Full]]</f>
        <v>1890</v>
      </c>
      <c r="M226" s="153"/>
      <c r="N226" s="153">
        <f>Table6[[#This Row],[Less GST Tax @18% Value]]-Table6[[#This Row],[Transfer Amount]]</f>
        <v>1890</v>
      </c>
    </row>
    <row r="227" spans="1:14" ht="21.95" customHeight="1" x14ac:dyDescent="0.35">
      <c r="A227" s="69">
        <v>46209.312210648153</v>
      </c>
      <c r="B227" s="70">
        <v>9243</v>
      </c>
      <c r="C227" s="71" t="s">
        <v>47</v>
      </c>
      <c r="D227" s="84">
        <v>10000</v>
      </c>
      <c r="E227" s="84"/>
      <c r="F227" s="84">
        <v>10000</v>
      </c>
      <c r="G227" s="84">
        <v>0</v>
      </c>
      <c r="H227" s="84">
        <v>10000</v>
      </c>
      <c r="I227" s="85"/>
      <c r="J227" s="86">
        <f>Table6[[#This Row],[Total Value Including Tax]]*$J$5</f>
        <v>550</v>
      </c>
      <c r="K227" s="86">
        <f>Table6[[#This Row],[Total Value Including Tax]]-Table6[[#This Row],[Less GST Tax @5.5%]]</f>
        <v>9450</v>
      </c>
      <c r="L227" s="86">
        <f>Table6[[#This Row],[Remaining Value]]-Table6[[#This Row],[Add GST Tax @18% Full]]</f>
        <v>9450</v>
      </c>
      <c r="M227" s="86"/>
      <c r="N227" s="86">
        <f>Table6[[#This Row],[Less GST Tax @18% Value]]-Table6[[#This Row],[Transfer Amount]]</f>
        <v>9450</v>
      </c>
    </row>
    <row r="228" spans="1:14" ht="21.95" customHeight="1" x14ac:dyDescent="0.35">
      <c r="A228" s="69"/>
      <c r="B228" s="70"/>
      <c r="C228" s="71"/>
      <c r="D228" s="84"/>
      <c r="E228" s="84"/>
      <c r="F228" s="84"/>
      <c r="G228" s="84"/>
      <c r="H228" s="84"/>
      <c r="I228" s="85"/>
      <c r="J228" s="86">
        <f>Table6[[#This Row],[Total Value Including Tax]]*$J$5</f>
        <v>0</v>
      </c>
      <c r="K228" s="86">
        <f>Table6[[#This Row],[Total Value Including Tax]]-Table6[[#This Row],[Less GST Tax @5.5%]]</f>
        <v>0</v>
      </c>
      <c r="L228" s="86">
        <f>Table6[[#This Row],[Remaining Value]]-Table6[[#This Row],[Add GST Tax @18% Full]]</f>
        <v>0</v>
      </c>
      <c r="M228" s="86"/>
      <c r="N228" s="86">
        <f>Table6[[#This Row],[Less GST Tax @18% Value]]-Table6[[#This Row],[Transfer Amount]]</f>
        <v>0</v>
      </c>
    </row>
    <row r="229" spans="1:14" ht="21.95" customHeight="1" x14ac:dyDescent="0.35">
      <c r="A229" s="148">
        <v>46213.312210648153</v>
      </c>
      <c r="B229" s="149">
        <v>9244</v>
      </c>
      <c r="C229" s="150" t="s">
        <v>74</v>
      </c>
      <c r="D229" s="151">
        <v>561680</v>
      </c>
      <c r="E229" s="151"/>
      <c r="F229" s="151">
        <v>561680</v>
      </c>
      <c r="G229" s="151">
        <v>0</v>
      </c>
      <c r="H229" s="151">
        <v>561680</v>
      </c>
      <c r="I229" s="152"/>
      <c r="J229" s="153">
        <f>Table6[[#This Row],[Total Value Including Tax]]*$J$5</f>
        <v>30892.400000000001</v>
      </c>
      <c r="K229" s="153">
        <f>Table6[[#This Row],[Total Value Including Tax]]-Table6[[#This Row],[Less GST Tax @5.5%]]</f>
        <v>530787.6</v>
      </c>
      <c r="L229" s="153">
        <f>Table6[[#This Row],[Remaining Value]]-Table6[[#This Row],[Add GST Tax @18% Full]]</f>
        <v>530787.6</v>
      </c>
      <c r="M229" s="153"/>
      <c r="N229" s="153">
        <f>Table6[[#This Row],[Less GST Tax @18% Value]]-Table6[[#This Row],[Transfer Amount]]</f>
        <v>530787.6</v>
      </c>
    </row>
    <row r="230" spans="1:14" ht="21.95" customHeight="1" x14ac:dyDescent="0.35">
      <c r="A230" s="69">
        <v>46224.312210648153</v>
      </c>
      <c r="B230" s="70">
        <v>9245</v>
      </c>
      <c r="C230" s="71" t="s">
        <v>64</v>
      </c>
      <c r="D230" s="84">
        <v>23000</v>
      </c>
      <c r="E230" s="84"/>
      <c r="F230" s="84">
        <v>23000</v>
      </c>
      <c r="G230" s="84">
        <v>0</v>
      </c>
      <c r="H230" s="84">
        <v>23000</v>
      </c>
      <c r="I230" s="85"/>
      <c r="J230" s="86">
        <f>Table6[[#This Row],[Total Value Including Tax]]*$J$5</f>
        <v>1265</v>
      </c>
      <c r="K230" s="86">
        <f>Table6[[#This Row],[Total Value Including Tax]]-Table6[[#This Row],[Less GST Tax @5.5%]]</f>
        <v>21735</v>
      </c>
      <c r="L230" s="86">
        <f>Table6[[#This Row],[Remaining Value]]-Table6[[#This Row],[Add GST Tax @18% Full]]</f>
        <v>21735</v>
      </c>
      <c r="M230" s="86"/>
      <c r="N230" s="86">
        <f>Table6[[#This Row],[Less GST Tax @18% Value]]-Table6[[#This Row],[Transfer Amount]]</f>
        <v>21735</v>
      </c>
    </row>
    <row r="231" spans="1:14" ht="21.95" customHeight="1" x14ac:dyDescent="0.35">
      <c r="A231" s="69"/>
      <c r="B231" s="70"/>
      <c r="C231" s="71"/>
      <c r="D231" s="84"/>
      <c r="E231" s="84"/>
      <c r="F231" s="84"/>
      <c r="G231" s="84"/>
      <c r="H231" s="84"/>
      <c r="I231" s="85"/>
      <c r="J231" s="86">
        <f>Table6[[#This Row],[Total Value Including Tax]]*$J$5</f>
        <v>0</v>
      </c>
      <c r="K231" s="86">
        <f>Table6[[#This Row],[Total Value Including Tax]]-Table6[[#This Row],[Less GST Tax @5.5%]]</f>
        <v>0</v>
      </c>
      <c r="L231" s="86">
        <f>Table6[[#This Row],[Remaining Value]]-Table6[[#This Row],[Add GST Tax @18% Full]]</f>
        <v>0</v>
      </c>
      <c r="M231" s="86"/>
      <c r="N231" s="86">
        <f>Table6[[#This Row],[Less GST Tax @18% Value]]-Table6[[#This Row],[Transfer Amount]]</f>
        <v>0</v>
      </c>
    </row>
    <row r="232" spans="1:14" ht="21.95" customHeight="1" x14ac:dyDescent="0.35">
      <c r="A232" s="69"/>
      <c r="B232" s="70"/>
      <c r="C232" s="71"/>
      <c r="D232" s="84"/>
      <c r="E232" s="84"/>
      <c r="F232" s="84"/>
      <c r="G232" s="84"/>
      <c r="H232" s="84"/>
      <c r="I232" s="85"/>
      <c r="J232" s="86">
        <f>Table6[[#This Row],[Total Value Including Tax]]*$J$5</f>
        <v>0</v>
      </c>
      <c r="K232" s="86">
        <f>Table6[[#This Row],[Total Value Including Tax]]-Table6[[#This Row],[Less GST Tax @5.5%]]</f>
        <v>0</v>
      </c>
      <c r="L232" s="86">
        <f>Table6[[#This Row],[Remaining Value]]-Table6[[#This Row],[Add GST Tax @18% Full]]</f>
        <v>0</v>
      </c>
      <c r="M232" s="86"/>
      <c r="N232" s="86">
        <f>Table6[[#This Row],[Less GST Tax @18% Value]]-Table6[[#This Row],[Transfer Amount]]</f>
        <v>0</v>
      </c>
    </row>
    <row r="233" spans="1:14" ht="21.95" customHeight="1" x14ac:dyDescent="0.35">
      <c r="A233" s="69">
        <v>46224.312210648153</v>
      </c>
      <c r="B233" s="70">
        <v>9234</v>
      </c>
      <c r="C233" s="71" t="s">
        <v>42</v>
      </c>
      <c r="D233" s="84">
        <v>88201</v>
      </c>
      <c r="E233" s="84"/>
      <c r="F233" s="84">
        <v>88201</v>
      </c>
      <c r="G233" s="84">
        <v>0</v>
      </c>
      <c r="H233" s="84">
        <v>88201</v>
      </c>
      <c r="I233" s="85"/>
      <c r="J233" s="86">
        <f>Table6[[#This Row],[Total Value Including Tax]]*$J$5</f>
        <v>4851.0550000000003</v>
      </c>
      <c r="K233" s="86">
        <f>Table6[[#This Row],[Total Value Including Tax]]-Table6[[#This Row],[Less GST Tax @5.5%]]</f>
        <v>83349.945000000007</v>
      </c>
      <c r="L233" s="86">
        <f>Table6[[#This Row],[Remaining Value]]-Table6[[#This Row],[Add GST Tax @18% Full]]</f>
        <v>83349.945000000007</v>
      </c>
      <c r="M233" s="86"/>
      <c r="N233" s="86">
        <f>Table6[[#This Row],[Less GST Tax @18% Value]]-Table6[[#This Row],[Transfer Amount]]</f>
        <v>83349.945000000007</v>
      </c>
    </row>
    <row r="234" spans="1:14" ht="21.95" customHeight="1" x14ac:dyDescent="0.35">
      <c r="A234" s="69"/>
      <c r="B234" s="70"/>
      <c r="C234" s="71"/>
      <c r="D234" s="84"/>
      <c r="E234" s="84"/>
      <c r="F234" s="84"/>
      <c r="G234" s="84"/>
      <c r="H234" s="84"/>
      <c r="I234" s="85"/>
      <c r="J234" s="86">
        <f>Table6[[#This Row],[Total Value Including Tax]]*$J$5</f>
        <v>0</v>
      </c>
      <c r="K234" s="86">
        <f>Table6[[#This Row],[Total Value Including Tax]]-Table6[[#This Row],[Less GST Tax @5.5%]]</f>
        <v>0</v>
      </c>
      <c r="L234" s="86">
        <f>Table6[[#This Row],[Remaining Value]]-Table6[[#This Row],[Add GST Tax @18% Full]]</f>
        <v>0</v>
      </c>
      <c r="M234" s="86"/>
      <c r="N234" s="86">
        <f>Table6[[#This Row],[Less GST Tax @18% Value]]-Table6[[#This Row],[Transfer Amount]]</f>
        <v>0</v>
      </c>
    </row>
    <row r="235" spans="1:14" ht="21.95" customHeight="1" x14ac:dyDescent="0.35">
      <c r="A235" s="69">
        <v>46224.312210648153</v>
      </c>
      <c r="B235" s="70">
        <v>9246</v>
      </c>
      <c r="C235" s="71" t="s">
        <v>52</v>
      </c>
      <c r="D235" s="84">
        <v>78000</v>
      </c>
      <c r="E235" s="84"/>
      <c r="F235" s="84">
        <v>78000</v>
      </c>
      <c r="G235" s="84">
        <v>0</v>
      </c>
      <c r="H235" s="84">
        <v>78000</v>
      </c>
      <c r="I235" s="85"/>
      <c r="J235" s="86">
        <f>Table6[[#This Row],[Total Value Including Tax]]*$J$5</f>
        <v>4290</v>
      </c>
      <c r="K235" s="86">
        <f>Table6[[#This Row],[Total Value Including Tax]]-Table6[[#This Row],[Less GST Tax @5.5%]]</f>
        <v>73710</v>
      </c>
      <c r="L235" s="86">
        <f>Table6[[#This Row],[Remaining Value]]-Table6[[#This Row],[Add GST Tax @18% Full]]</f>
        <v>73710</v>
      </c>
      <c r="M235" s="86"/>
      <c r="N235" s="86">
        <f>Table6[[#This Row],[Less GST Tax @18% Value]]-Table6[[#This Row],[Transfer Amount]]</f>
        <v>73710</v>
      </c>
    </row>
    <row r="236" spans="1:14" ht="21.95" customHeight="1" x14ac:dyDescent="0.35">
      <c r="A236" s="69">
        <v>46230.312210648153</v>
      </c>
      <c r="B236" s="70">
        <v>9248</v>
      </c>
      <c r="C236" s="71" t="s">
        <v>52</v>
      </c>
      <c r="D236" s="84">
        <v>165000</v>
      </c>
      <c r="E236" s="84"/>
      <c r="F236" s="84">
        <v>165000</v>
      </c>
      <c r="G236" s="84">
        <v>0</v>
      </c>
      <c r="H236" s="84">
        <v>165000</v>
      </c>
      <c r="I236" s="85"/>
      <c r="J236" s="86">
        <f>Table6[[#This Row],[Total Value Including Tax]]*$J$5</f>
        <v>9075</v>
      </c>
      <c r="K236" s="86">
        <f>Table6[[#This Row],[Total Value Including Tax]]-Table6[[#This Row],[Less GST Tax @5.5%]]</f>
        <v>155925</v>
      </c>
      <c r="L236" s="86">
        <f>Table6[[#This Row],[Remaining Value]]-Table6[[#This Row],[Add GST Tax @18% Full]]</f>
        <v>155925</v>
      </c>
      <c r="M236" s="86"/>
      <c r="N236" s="86">
        <f>Table6[[#This Row],[Less GST Tax @18% Value]]-Table6[[#This Row],[Transfer Amount]]</f>
        <v>155925</v>
      </c>
    </row>
    <row r="237" spans="1:14" ht="21.95" customHeight="1" x14ac:dyDescent="0.35">
      <c r="A237" s="69"/>
      <c r="B237" s="70"/>
      <c r="C237" s="71"/>
      <c r="D237" s="84"/>
      <c r="E237" s="84"/>
      <c r="F237" s="84"/>
      <c r="G237" s="84"/>
      <c r="H237" s="84"/>
      <c r="I237" s="85"/>
      <c r="J237" s="86">
        <f>Table6[[#This Row],[Total Value Including Tax]]*$J$5</f>
        <v>0</v>
      </c>
      <c r="K237" s="86">
        <f>Table6[[#This Row],[Total Value Including Tax]]-Table6[[#This Row],[Less GST Tax @5.5%]]</f>
        <v>0</v>
      </c>
      <c r="L237" s="86">
        <f>Table6[[#This Row],[Remaining Value]]-Table6[[#This Row],[Add GST Tax @18% Full]]</f>
        <v>0</v>
      </c>
      <c r="M237" s="86"/>
      <c r="N237" s="86">
        <f>Table6[[#This Row],[Less GST Tax @18% Value]]-Table6[[#This Row],[Transfer Amount]]</f>
        <v>0</v>
      </c>
    </row>
    <row r="238" spans="1:14" ht="21.95" customHeight="1" x14ac:dyDescent="0.35">
      <c r="A238" s="69">
        <v>46233.312210648153</v>
      </c>
      <c r="B238" s="70">
        <v>9250</v>
      </c>
      <c r="C238" s="71" t="s">
        <v>56</v>
      </c>
      <c r="D238" s="84">
        <v>7800</v>
      </c>
      <c r="E238" s="84"/>
      <c r="F238" s="84">
        <v>7800</v>
      </c>
      <c r="G238" s="84">
        <v>0</v>
      </c>
      <c r="H238" s="84">
        <v>7800</v>
      </c>
      <c r="I238" s="85"/>
      <c r="J238" s="86">
        <f>Table6[[#This Row],[Total Value Including Tax]]*$J$5</f>
        <v>429</v>
      </c>
      <c r="K238" s="86">
        <f>Table6[[#This Row],[Total Value Including Tax]]-Table6[[#This Row],[Less GST Tax @5.5%]]</f>
        <v>7371</v>
      </c>
      <c r="L238" s="86">
        <f>Table6[[#This Row],[Remaining Value]]-Table6[[#This Row],[Add GST Tax @18% Full]]</f>
        <v>7371</v>
      </c>
      <c r="M238" s="86"/>
      <c r="N238" s="86">
        <f>Table6[[#This Row],[Less GST Tax @18% Value]]-Table6[[#This Row],[Transfer Amount]]</f>
        <v>7371</v>
      </c>
    </row>
    <row r="239" spans="1:14" ht="21.95" customHeight="1" x14ac:dyDescent="0.35">
      <c r="A239" s="69">
        <v>46233.312210648153</v>
      </c>
      <c r="B239" s="70">
        <v>9251</v>
      </c>
      <c r="C239" s="71" t="s">
        <v>44</v>
      </c>
      <c r="D239" s="84">
        <v>16600</v>
      </c>
      <c r="E239" s="84"/>
      <c r="F239" s="84">
        <v>16600</v>
      </c>
      <c r="G239" s="84">
        <v>0</v>
      </c>
      <c r="H239" s="84">
        <v>16600</v>
      </c>
      <c r="I239" s="85"/>
      <c r="J239" s="86">
        <f>Table6[[#This Row],[Total Value Including Tax]]*$J$5</f>
        <v>913</v>
      </c>
      <c r="K239" s="86">
        <f>Table6[[#This Row],[Total Value Including Tax]]-Table6[[#This Row],[Less GST Tax @5.5%]]</f>
        <v>15687</v>
      </c>
      <c r="L239" s="86">
        <f>Table6[[#This Row],[Remaining Value]]-Table6[[#This Row],[Add GST Tax @18% Full]]</f>
        <v>15687</v>
      </c>
      <c r="M239" s="86"/>
      <c r="N239" s="86">
        <f>Table6[[#This Row],[Less GST Tax @18% Value]]-Table6[[#This Row],[Transfer Amount]]</f>
        <v>15687</v>
      </c>
    </row>
    <row r="240" spans="1:14" ht="21.95" customHeight="1" x14ac:dyDescent="0.35">
      <c r="A240" s="69">
        <v>46234.312210648153</v>
      </c>
      <c r="B240" s="70">
        <v>9253</v>
      </c>
      <c r="C240" s="71" t="s">
        <v>47</v>
      </c>
      <c r="D240" s="84">
        <v>15000</v>
      </c>
      <c r="E240" s="84"/>
      <c r="F240" s="84">
        <v>15000</v>
      </c>
      <c r="G240" s="84">
        <v>0</v>
      </c>
      <c r="H240" s="84">
        <v>15000</v>
      </c>
      <c r="I240" s="85"/>
      <c r="J240" s="86">
        <f>Table6[[#This Row],[Total Value Including Tax]]*$J$5</f>
        <v>825</v>
      </c>
      <c r="K240" s="86">
        <f>Table6[[#This Row],[Total Value Including Tax]]-Table6[[#This Row],[Less GST Tax @5.5%]]</f>
        <v>14175</v>
      </c>
      <c r="L240" s="86">
        <f>Table6[[#This Row],[Remaining Value]]-Table6[[#This Row],[Add GST Tax @18% Full]]</f>
        <v>14175</v>
      </c>
      <c r="M240" s="86"/>
      <c r="N240" s="86">
        <f>Table6[[#This Row],[Less GST Tax @18% Value]]-Table6[[#This Row],[Transfer Amount]]</f>
        <v>14175</v>
      </c>
    </row>
    <row r="241" spans="1:14" ht="21.95" customHeight="1" x14ac:dyDescent="0.35">
      <c r="A241" s="154">
        <v>46234.312210648153</v>
      </c>
      <c r="B241" s="155">
        <v>9254</v>
      </c>
      <c r="C241" s="156" t="s">
        <v>47</v>
      </c>
      <c r="D241" s="157">
        <v>11000</v>
      </c>
      <c r="E241" s="157"/>
      <c r="F241" s="157">
        <v>11000</v>
      </c>
      <c r="G241" s="157">
        <v>0</v>
      </c>
      <c r="H241" s="157">
        <v>11000</v>
      </c>
      <c r="I241" s="158"/>
      <c r="J241" s="159">
        <f>Table6[[#This Row],[Total Value Including Tax]]*$J$5</f>
        <v>605</v>
      </c>
      <c r="K241" s="159">
        <f>Table6[[#This Row],[Total Value Including Tax]]-Table6[[#This Row],[Less GST Tax @5.5%]]</f>
        <v>10395</v>
      </c>
      <c r="L241" s="159">
        <f>Table6[[#This Row],[Remaining Value]]-Table6[[#This Row],[Add GST Tax @18% Full]]</f>
        <v>10395</v>
      </c>
      <c r="M241" s="159"/>
      <c r="N241" s="159">
        <f>Table6[[#This Row],[Less GST Tax @18% Value]]-Table6[[#This Row],[Transfer Amount]]</f>
        <v>10395</v>
      </c>
    </row>
    <row r="242" spans="1:14" ht="21.95" customHeight="1" x14ac:dyDescent="0.35">
      <c r="A242" s="69">
        <v>46246.312210648153</v>
      </c>
      <c r="B242" s="70">
        <v>9255</v>
      </c>
      <c r="C242" s="71" t="s">
        <v>56</v>
      </c>
      <c r="D242" s="84">
        <v>8000</v>
      </c>
      <c r="E242" s="84"/>
      <c r="F242" s="84">
        <v>8000</v>
      </c>
      <c r="G242" s="84">
        <v>0</v>
      </c>
      <c r="H242" s="84">
        <v>8000</v>
      </c>
      <c r="I242" s="85"/>
      <c r="J242" s="86">
        <f>Table6[[#This Row],[Total Value Including Tax]]*$J$5</f>
        <v>440</v>
      </c>
      <c r="K242" s="86">
        <f>Table6[[#This Row],[Total Value Including Tax]]-Table6[[#This Row],[Less GST Tax @5.5%]]</f>
        <v>7560</v>
      </c>
      <c r="L242" s="86">
        <f>Table6[[#This Row],[Remaining Value]]-Table6[[#This Row],[Add GST Tax @18% Full]]</f>
        <v>7560</v>
      </c>
      <c r="M242" s="86"/>
      <c r="N242" s="86">
        <f>Table6[[#This Row],[Less GST Tax @18% Value]]-Table6[[#This Row],[Transfer Amount]]</f>
        <v>7560</v>
      </c>
    </row>
    <row r="243" spans="1:14" ht="21.95" customHeight="1" x14ac:dyDescent="0.35">
      <c r="A243" s="154">
        <v>46246.312210648153</v>
      </c>
      <c r="B243" s="155">
        <v>9256</v>
      </c>
      <c r="C243" s="156" t="s">
        <v>48</v>
      </c>
      <c r="D243" s="157">
        <v>10000</v>
      </c>
      <c r="E243" s="157"/>
      <c r="F243" s="157">
        <v>10000</v>
      </c>
      <c r="G243" s="157">
        <v>0</v>
      </c>
      <c r="H243" s="157">
        <v>10000</v>
      </c>
      <c r="I243" s="158"/>
      <c r="J243" s="159">
        <f>Table6[[#This Row],[Total Value Including Tax]]*$J$5</f>
        <v>550</v>
      </c>
      <c r="K243" s="159">
        <f>Table6[[#This Row],[Total Value Including Tax]]-Table6[[#This Row],[Less GST Tax @5.5%]]</f>
        <v>9450</v>
      </c>
      <c r="L243" s="159">
        <f>Table6[[#This Row],[Remaining Value]]-Table6[[#This Row],[Add GST Tax @18% Full]]</f>
        <v>9450</v>
      </c>
      <c r="M243" s="159"/>
      <c r="N243" s="159">
        <f>Table6[[#This Row],[Less GST Tax @18% Value]]-Table6[[#This Row],[Transfer Amount]]</f>
        <v>9450</v>
      </c>
    </row>
    <row r="244" spans="1:14" ht="21.95" customHeight="1" x14ac:dyDescent="0.35">
      <c r="A244" s="154">
        <v>46246.312210648153</v>
      </c>
      <c r="B244" s="155">
        <v>9257</v>
      </c>
      <c r="C244" s="156" t="s">
        <v>48</v>
      </c>
      <c r="D244" s="157">
        <v>1500</v>
      </c>
      <c r="E244" s="157"/>
      <c r="F244" s="157">
        <v>1500</v>
      </c>
      <c r="G244" s="157">
        <v>0</v>
      </c>
      <c r="H244" s="157">
        <v>1500</v>
      </c>
      <c r="I244" s="158"/>
      <c r="J244" s="159">
        <f>Table6[[#This Row],[Total Value Including Tax]]*$J$5</f>
        <v>82.5</v>
      </c>
      <c r="K244" s="159">
        <f>Table6[[#This Row],[Total Value Including Tax]]-Table6[[#This Row],[Less GST Tax @5.5%]]</f>
        <v>1417.5</v>
      </c>
      <c r="L244" s="159">
        <f>Table6[[#This Row],[Remaining Value]]-Table6[[#This Row],[Add GST Tax @18% Full]]</f>
        <v>1417.5</v>
      </c>
      <c r="M244" s="159"/>
      <c r="N244" s="159">
        <f>Table6[[#This Row],[Less GST Tax @18% Value]]-Table6[[#This Row],[Transfer Amount]]</f>
        <v>1417.5</v>
      </c>
    </row>
    <row r="245" spans="1:14" ht="21.95" customHeight="1" x14ac:dyDescent="0.35">
      <c r="A245" s="69">
        <v>46247.312210648153</v>
      </c>
      <c r="B245" s="70">
        <v>9258</v>
      </c>
      <c r="C245" s="71" t="s">
        <v>53</v>
      </c>
      <c r="D245" s="84">
        <v>17000</v>
      </c>
      <c r="E245" s="84"/>
      <c r="F245" s="84">
        <v>17000</v>
      </c>
      <c r="G245" s="84">
        <v>0</v>
      </c>
      <c r="H245" s="84">
        <v>17000</v>
      </c>
      <c r="I245" s="85"/>
      <c r="J245" s="86">
        <f>Table6[[#This Row],[Total Value Including Tax]]*$J$5</f>
        <v>935</v>
      </c>
      <c r="K245" s="86">
        <f>Table6[[#This Row],[Total Value Including Tax]]-Table6[[#This Row],[Less GST Tax @5.5%]]</f>
        <v>16065</v>
      </c>
      <c r="L245" s="86">
        <f>Table6[[#This Row],[Remaining Value]]-Table6[[#This Row],[Add GST Tax @18% Full]]</f>
        <v>16065</v>
      </c>
      <c r="M245" s="86"/>
      <c r="N245" s="86">
        <f>Table6[[#This Row],[Less GST Tax @18% Value]]-Table6[[#This Row],[Transfer Amount]]</f>
        <v>16065</v>
      </c>
    </row>
    <row r="246" spans="1:14" ht="21.95" customHeight="1" x14ac:dyDescent="0.35">
      <c r="A246" s="69">
        <v>46251.312210648153</v>
      </c>
      <c r="B246" s="70">
        <v>9259</v>
      </c>
      <c r="C246" s="71" t="s">
        <v>46</v>
      </c>
      <c r="D246" s="84">
        <v>157400</v>
      </c>
      <c r="E246" s="84"/>
      <c r="F246" s="84">
        <v>157400</v>
      </c>
      <c r="G246" s="84">
        <v>0</v>
      </c>
      <c r="H246" s="84">
        <v>157400</v>
      </c>
      <c r="I246" s="85"/>
      <c r="J246" s="86">
        <f>Table6[[#This Row],[Total Value Including Tax]]*$J$5</f>
        <v>8657</v>
      </c>
      <c r="K246" s="86">
        <f>Table6[[#This Row],[Total Value Including Tax]]-Table6[[#This Row],[Less GST Tax @5.5%]]</f>
        <v>148743</v>
      </c>
      <c r="L246" s="86">
        <f>Table6[[#This Row],[Remaining Value]]-Table6[[#This Row],[Add GST Tax @18% Full]]</f>
        <v>148743</v>
      </c>
      <c r="M246" s="86"/>
      <c r="N246" s="86">
        <f>Table6[[#This Row],[Less GST Tax @18% Value]]-Table6[[#This Row],[Transfer Amount]]</f>
        <v>148743</v>
      </c>
    </row>
    <row r="247" spans="1:14" ht="21.95" customHeight="1" x14ac:dyDescent="0.35">
      <c r="A247" s="69">
        <v>46251.312210648153</v>
      </c>
      <c r="B247" s="70">
        <v>9260</v>
      </c>
      <c r="C247" s="71" t="s">
        <v>46</v>
      </c>
      <c r="D247" s="84">
        <v>322500</v>
      </c>
      <c r="E247" s="84"/>
      <c r="F247" s="84">
        <v>322500</v>
      </c>
      <c r="G247" s="84">
        <v>0</v>
      </c>
      <c r="H247" s="84">
        <v>322500</v>
      </c>
      <c r="I247" s="85"/>
      <c r="J247" s="86">
        <f>Table6[[#This Row],[Total Value Including Tax]]*$J$5</f>
        <v>17737.5</v>
      </c>
      <c r="K247" s="86">
        <f>Table6[[#This Row],[Total Value Including Tax]]-Table6[[#This Row],[Less GST Tax @5.5%]]</f>
        <v>304762.5</v>
      </c>
      <c r="L247" s="86">
        <f>Table6[[#This Row],[Remaining Value]]-Table6[[#This Row],[Add GST Tax @18% Full]]</f>
        <v>304762.5</v>
      </c>
      <c r="M247" s="86"/>
      <c r="N247" s="86">
        <f>Table6[[#This Row],[Less GST Tax @18% Value]]-Table6[[#This Row],[Transfer Amount]]</f>
        <v>304762.5</v>
      </c>
    </row>
    <row r="248" spans="1:14" ht="21.95" customHeight="1" x14ac:dyDescent="0.35">
      <c r="A248" s="69">
        <v>46254.312210648153</v>
      </c>
      <c r="B248" s="70">
        <v>9260</v>
      </c>
      <c r="C248" s="71" t="s">
        <v>46</v>
      </c>
      <c r="D248" s="84">
        <v>322500</v>
      </c>
      <c r="E248" s="84"/>
      <c r="F248" s="84">
        <v>322500</v>
      </c>
      <c r="G248" s="84">
        <v>0</v>
      </c>
      <c r="H248" s="84">
        <v>322500</v>
      </c>
      <c r="I248" s="85"/>
      <c r="J248" s="86">
        <f>Table6[[#This Row],[Total Value Including Tax]]*$J$5</f>
        <v>17737.5</v>
      </c>
      <c r="K248" s="86">
        <f>Table6[[#This Row],[Total Value Including Tax]]-Table6[[#This Row],[Less GST Tax @5.5%]]</f>
        <v>304762.5</v>
      </c>
      <c r="L248" s="86">
        <f>Table6[[#This Row],[Remaining Value]]-Table6[[#This Row],[Add GST Tax @18% Full]]</f>
        <v>304762.5</v>
      </c>
      <c r="M248" s="86"/>
      <c r="N248" s="86">
        <f>Table6[[#This Row],[Less GST Tax @18% Value]]-Table6[[#This Row],[Transfer Amount]]</f>
        <v>304762.5</v>
      </c>
    </row>
    <row r="249" spans="1:14" ht="21.95" customHeight="1" x14ac:dyDescent="0.35">
      <c r="A249" s="69">
        <v>46254.312210648153</v>
      </c>
      <c r="B249" s="70">
        <v>9259</v>
      </c>
      <c r="C249" s="71" t="s">
        <v>46</v>
      </c>
      <c r="D249" s="84">
        <v>165400</v>
      </c>
      <c r="E249" s="84"/>
      <c r="F249" s="84">
        <v>165400</v>
      </c>
      <c r="G249" s="84">
        <v>0</v>
      </c>
      <c r="H249" s="84">
        <v>165400</v>
      </c>
      <c r="I249" s="85"/>
      <c r="J249" s="86">
        <f>Table6[[#This Row],[Total Value Including Tax]]*$J$5</f>
        <v>9097</v>
      </c>
      <c r="K249" s="86">
        <f>Table6[[#This Row],[Total Value Including Tax]]-Table6[[#This Row],[Less GST Tax @5.5%]]</f>
        <v>156303</v>
      </c>
      <c r="L249" s="86">
        <f>Table6[[#This Row],[Remaining Value]]-Table6[[#This Row],[Add GST Tax @18% Full]]</f>
        <v>156303</v>
      </c>
      <c r="M249" s="86"/>
      <c r="N249" s="86">
        <f>Table6[[#This Row],[Less GST Tax @18% Value]]-Table6[[#This Row],[Transfer Amount]]</f>
        <v>156303</v>
      </c>
    </row>
    <row r="250" spans="1:14" ht="21.95" customHeight="1" x14ac:dyDescent="0.35">
      <c r="A250" s="69">
        <v>46245</v>
      </c>
      <c r="B250" s="70">
        <v>9260</v>
      </c>
      <c r="C250" s="71" t="s">
        <v>12</v>
      </c>
      <c r="D250" s="84">
        <v>231520</v>
      </c>
      <c r="E250" s="84"/>
      <c r="F250" s="84">
        <v>231520</v>
      </c>
      <c r="G250" s="84">
        <v>0</v>
      </c>
      <c r="H250" s="84">
        <v>231520</v>
      </c>
      <c r="I250" s="85"/>
      <c r="J250" s="86">
        <f>Table6[[#This Row],[Total Value Including Tax]]*$J$5</f>
        <v>12733.6</v>
      </c>
      <c r="K250" s="86">
        <f>Table6[[#This Row],[Total Value Including Tax]]-Table6[[#This Row],[Less GST Tax @5.5%]]</f>
        <v>218786.4</v>
      </c>
      <c r="L250" s="86">
        <f>Table6[[#This Row],[Remaining Value]]-Table6[[#This Row],[Add GST Tax @18% Full]]</f>
        <v>218786.4</v>
      </c>
      <c r="M250" s="86"/>
      <c r="N250" s="86">
        <f>Table6[[#This Row],[Less GST Tax @18% Value]]-Table6[[#This Row],[Transfer Amount]]</f>
        <v>218786.4</v>
      </c>
    </row>
    <row r="251" spans="1:14" ht="21.95" customHeight="1" x14ac:dyDescent="0.35">
      <c r="A251" s="69">
        <v>46254</v>
      </c>
      <c r="B251" s="70">
        <v>9261</v>
      </c>
      <c r="C251" s="71" t="s">
        <v>44</v>
      </c>
      <c r="D251" s="84">
        <v>281630</v>
      </c>
      <c r="E251" s="84"/>
      <c r="F251" s="84">
        <v>281630</v>
      </c>
      <c r="G251" s="84">
        <v>0</v>
      </c>
      <c r="H251" s="84">
        <v>281630</v>
      </c>
      <c r="I251" s="85"/>
      <c r="J251" s="86">
        <f>Table6[[#This Row],[Total Value Including Tax]]*$J$5</f>
        <v>15489.65</v>
      </c>
      <c r="K251" s="86">
        <f>Table6[[#This Row],[Total Value Including Tax]]-Table6[[#This Row],[Less GST Tax @5.5%]]</f>
        <v>266140.34999999998</v>
      </c>
      <c r="L251" s="86">
        <f>Table6[[#This Row],[Remaining Value]]-Table6[[#This Row],[Add GST Tax @18% Full]]</f>
        <v>266140.34999999998</v>
      </c>
      <c r="M251" s="86"/>
      <c r="N251" s="86">
        <f>Table6[[#This Row],[Less GST Tax @18% Value]]-Table6[[#This Row],[Transfer Amount]]</f>
        <v>266140.34999999998</v>
      </c>
    </row>
    <row r="252" spans="1:14" ht="21.95" customHeight="1" x14ac:dyDescent="0.35">
      <c r="A252" s="191">
        <v>46255</v>
      </c>
      <c r="B252" s="192">
        <v>9263</v>
      </c>
      <c r="C252" s="193" t="s">
        <v>56</v>
      </c>
      <c r="D252" s="194">
        <v>13000</v>
      </c>
      <c r="E252" s="194"/>
      <c r="F252" s="194">
        <v>13000</v>
      </c>
      <c r="G252" s="194">
        <v>0</v>
      </c>
      <c r="H252" s="194">
        <v>13000</v>
      </c>
      <c r="I252" s="195"/>
      <c r="J252" s="196">
        <f>Table6[[#This Row],[Total Value Including Tax]]*$J$5</f>
        <v>715</v>
      </c>
      <c r="K252" s="196">
        <f>Table6[[#This Row],[Total Value Including Tax]]-Table6[[#This Row],[Less GST Tax @5.5%]]</f>
        <v>12285</v>
      </c>
      <c r="L252" s="196">
        <f>Table6[[#This Row],[Remaining Value]]-Table6[[#This Row],[Add GST Tax @18% Full]]</f>
        <v>12285</v>
      </c>
      <c r="M252" s="196"/>
      <c r="N252" s="196">
        <f>Table6[[#This Row],[Less GST Tax @18% Value]]-Table6[[#This Row],[Transfer Amount]]</f>
        <v>12285</v>
      </c>
    </row>
  </sheetData>
  <mergeCells count="1">
    <mergeCell ref="M2:N2"/>
  </mergeCells>
  <pageMargins left="0.7" right="0.7" top="0.75" bottom="0.75" header="0.3" footer="0.3"/>
  <pageSetup orientation="portrait"/>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Charts</vt:lpstr>
      </vt:variant>
      <vt:variant>
        <vt:i4>1</vt:i4>
      </vt:variant>
    </vt:vector>
  </HeadingPairs>
  <TitlesOfParts>
    <vt:vector size="4" baseType="lpstr">
      <vt:lpstr>Clients</vt:lpstr>
      <vt:lpstr>Sales Invoice</vt:lpstr>
      <vt:lpstr>DLedger</vt:lpstr>
      <vt:lpstr>Chart2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HP</cp:lastModifiedBy>
  <cp:lastPrinted>2026-08-21T10:14:45Z</cp:lastPrinted>
  <dcterms:created xsi:type="dcterms:W3CDTF">2019-03-04T05:45:07Z</dcterms:created>
  <dcterms:modified xsi:type="dcterms:W3CDTF">2026-08-21T11:21:10Z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